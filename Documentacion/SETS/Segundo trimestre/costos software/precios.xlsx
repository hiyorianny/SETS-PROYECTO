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always"/>
  <mc:AlternateContent xmlns:mc="http://schemas.openxmlformats.org/markup-compatibility/2006">
    <mc:Choice Requires="x15">
      <x15ac:absPath xmlns:x15ac="http://schemas.microsoft.com/office/spreadsheetml/2010/11/ac" url="C:\xampp\htdocs\SETS-PROYECTO\documentacion\Segundo trimestre\costos software\"/>
    </mc:Choice>
  </mc:AlternateContent>
  <xr:revisionPtr revIDLastSave="0" documentId="13_ncr:1_{A81CDB63-489A-4721-9391-D213A227B21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- AYUDA -" sheetId="1" r:id="rId1"/>
    <sheet name="Precios nosotros" sheetId="5" r:id="rId2"/>
    <sheet name="Preios admin" sheetId="2" r:id="rId3"/>
    <sheet name="Soporte" sheetId="4" state="hidden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vsClmUbMDMtvaFovhypPCRstQaRI3A92aDSsRmC/K8Q="/>
    </ext>
  </extLst>
</workbook>
</file>

<file path=xl/calcChain.xml><?xml version="1.0" encoding="utf-8"?>
<calcChain xmlns="http://schemas.openxmlformats.org/spreadsheetml/2006/main">
  <c r="F21" i="2" l="1"/>
  <c r="E21" i="2"/>
  <c r="D21" i="2"/>
  <c r="J21" i="2" s="1"/>
  <c r="F21" i="5"/>
  <c r="E21" i="5"/>
  <c r="D21" i="5"/>
  <c r="F20" i="2"/>
  <c r="E20" i="2"/>
  <c r="D20" i="2"/>
  <c r="F20" i="5"/>
  <c r="E20" i="5"/>
  <c r="D20" i="5"/>
  <c r="F19" i="2"/>
  <c r="E19" i="2"/>
  <c r="D19" i="2"/>
  <c r="L19" i="2" s="1"/>
  <c r="F19" i="5"/>
  <c r="E19" i="5"/>
  <c r="D19" i="5"/>
  <c r="F18" i="2"/>
  <c r="E18" i="2"/>
  <c r="K18" i="2" s="1"/>
  <c r="D18" i="2"/>
  <c r="F18" i="5"/>
  <c r="E18" i="5"/>
  <c r="D18" i="5"/>
  <c r="F17" i="2"/>
  <c r="E17" i="2"/>
  <c r="D17" i="2"/>
  <c r="J17" i="2" s="1"/>
  <c r="F17" i="5"/>
  <c r="E17" i="5"/>
  <c r="D17" i="5"/>
  <c r="F16" i="2"/>
  <c r="E16" i="2"/>
  <c r="D16" i="2"/>
  <c r="F16" i="5"/>
  <c r="E16" i="5"/>
  <c r="D16" i="5"/>
  <c r="F15" i="2"/>
  <c r="E15" i="2"/>
  <c r="D15" i="2"/>
  <c r="L15" i="2" s="1"/>
  <c r="F15" i="5"/>
  <c r="E15" i="5"/>
  <c r="D15" i="5"/>
  <c r="F14" i="2"/>
  <c r="E14" i="2"/>
  <c r="K14" i="2" s="1"/>
  <c r="D14" i="2"/>
  <c r="F14" i="5"/>
  <c r="E14" i="5"/>
  <c r="D14" i="5"/>
  <c r="F13" i="2"/>
  <c r="E13" i="2"/>
  <c r="D13" i="2"/>
  <c r="J13" i="2" s="1"/>
  <c r="F13" i="5"/>
  <c r="E13" i="5"/>
  <c r="D13" i="5"/>
  <c r="F12" i="2"/>
  <c r="E12" i="2"/>
  <c r="D12" i="2"/>
  <c r="F12" i="5"/>
  <c r="E12" i="5"/>
  <c r="D12" i="5"/>
  <c r="F11" i="2"/>
  <c r="E11" i="2"/>
  <c r="D11" i="2"/>
  <c r="L11" i="2" s="1"/>
  <c r="F11" i="5"/>
  <c r="E11" i="5"/>
  <c r="D11" i="5"/>
  <c r="F10" i="2"/>
  <c r="E10" i="2"/>
  <c r="K10" i="2" s="1"/>
  <c r="D10" i="2"/>
  <c r="F10" i="5"/>
  <c r="E10" i="5"/>
  <c r="D10" i="5"/>
  <c r="F9" i="2"/>
  <c r="E9" i="2"/>
  <c r="E25" i="2" s="1"/>
  <c r="D9" i="2"/>
  <c r="F9" i="5"/>
  <c r="F25" i="5" s="1"/>
  <c r="E9" i="5"/>
  <c r="D9" i="5"/>
  <c r="I25" i="5"/>
  <c r="H25" i="5"/>
  <c r="G25" i="5"/>
  <c r="L24" i="5"/>
  <c r="K24" i="5"/>
  <c r="J24" i="5"/>
  <c r="L23" i="5"/>
  <c r="K23" i="5"/>
  <c r="J23" i="5"/>
  <c r="L22" i="5"/>
  <c r="K22" i="5"/>
  <c r="J22" i="5"/>
  <c r="E25" i="5"/>
  <c r="I25" i="2"/>
  <c r="H25" i="2"/>
  <c r="G25" i="2"/>
  <c r="F25" i="2"/>
  <c r="L24" i="2"/>
  <c r="K24" i="2"/>
  <c r="J24" i="2"/>
  <c r="L23" i="2"/>
  <c r="K23" i="2"/>
  <c r="J23" i="2"/>
  <c r="L22" i="2"/>
  <c r="K22" i="2"/>
  <c r="J22" i="2"/>
  <c r="L20" i="2"/>
  <c r="K20" i="2"/>
  <c r="J20" i="2"/>
  <c r="L18" i="2"/>
  <c r="L16" i="2"/>
  <c r="K16" i="2"/>
  <c r="J16" i="2"/>
  <c r="L14" i="2"/>
  <c r="L12" i="2"/>
  <c r="K12" i="2"/>
  <c r="J12" i="2"/>
  <c r="K11" i="2"/>
  <c r="L10" i="2"/>
  <c r="L13" i="2" l="1"/>
  <c r="L17" i="2"/>
  <c r="L21" i="2"/>
  <c r="K21" i="2"/>
  <c r="J10" i="2"/>
  <c r="J14" i="2"/>
  <c r="J18" i="2"/>
  <c r="K13" i="2"/>
  <c r="K17" i="2"/>
  <c r="J11" i="2"/>
  <c r="J15" i="2"/>
  <c r="J19" i="2"/>
  <c r="K15" i="2"/>
  <c r="K19" i="2"/>
  <c r="D25" i="5"/>
  <c r="L9" i="5"/>
  <c r="K9" i="5"/>
  <c r="J9" i="5"/>
  <c r="L10" i="5"/>
  <c r="K10" i="5"/>
  <c r="J10" i="5"/>
  <c r="L11" i="5"/>
  <c r="K11" i="5"/>
  <c r="J11" i="5"/>
  <c r="L12" i="5"/>
  <c r="K12" i="5"/>
  <c r="J12" i="5"/>
  <c r="L13" i="5"/>
  <c r="K13" i="5"/>
  <c r="J13" i="5"/>
  <c r="L14" i="5"/>
  <c r="K14" i="5"/>
  <c r="J14" i="5"/>
  <c r="L15" i="5"/>
  <c r="K15" i="5"/>
  <c r="J15" i="5"/>
  <c r="L16" i="5"/>
  <c r="K16" i="5"/>
  <c r="J16" i="5"/>
  <c r="L17" i="5"/>
  <c r="K17" i="5"/>
  <c r="J17" i="5"/>
  <c r="L18" i="5"/>
  <c r="K18" i="5"/>
  <c r="J18" i="5"/>
  <c r="L19" i="5"/>
  <c r="K19" i="5"/>
  <c r="J19" i="5"/>
  <c r="L20" i="5"/>
  <c r="K20" i="5"/>
  <c r="J20" i="5"/>
  <c r="L21" i="5"/>
  <c r="K21" i="5"/>
  <c r="J21" i="5"/>
  <c r="D25" i="2"/>
  <c r="L9" i="2"/>
  <c r="K9" i="2"/>
  <c r="J9" i="2"/>
</calcChain>
</file>

<file path=xl/sharedStrings.xml><?xml version="1.0" encoding="utf-8"?>
<sst xmlns="http://schemas.openxmlformats.org/spreadsheetml/2006/main" count="105" uniqueCount="57">
  <si>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</si>
  <si>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</si>
  <si>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</si>
  <si>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</si>
  <si>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</si>
  <si>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</si>
  <si>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PROVEEDOR 1</t>
  </si>
  <si>
    <t>PROVEEDOR 2</t>
  </si>
  <si>
    <t>PROVEEDOR 3</t>
  </si>
  <si>
    <t>PROVEEDOR 4</t>
  </si>
  <si>
    <t>PROVEEDOR 5</t>
  </si>
  <si>
    <t>PROVEEDOR 6</t>
  </si>
  <si>
    <t>PRECIO MÁS BAJO</t>
  </si>
  <si>
    <t>PRECIO PROMEDIO</t>
  </si>
  <si>
    <t>PRECIO MÁS ALTO</t>
  </si>
  <si>
    <t>Torre PC</t>
  </si>
  <si>
    <t>Monitor</t>
  </si>
  <si>
    <t>Portatil</t>
  </si>
  <si>
    <t>Hosting</t>
  </si>
  <si>
    <t>Teclado</t>
  </si>
  <si>
    <t>Mouses</t>
  </si>
  <si>
    <t>Antivirus</t>
  </si>
  <si>
    <t>Mockup</t>
  </si>
  <si>
    <t>Internet</t>
  </si>
  <si>
    <t>Editores de codigo</t>
  </si>
  <si>
    <t>Bases de datos</t>
  </si>
  <si>
    <t>Dominio</t>
  </si>
  <si>
    <t>Microsoft</t>
  </si>
  <si>
    <t>Total</t>
  </si>
  <si>
    <t>DATOS ADICIONALES</t>
  </si>
  <si>
    <t>TIEMPO DE ENTREGA (DÍAS)</t>
  </si>
  <si>
    <t>COSTO DE ENVÍO</t>
  </si>
  <si>
    <t>FORMAS DE PAGO</t>
  </si>
  <si>
    <t>codensa</t>
  </si>
  <si>
    <t>Visa</t>
  </si>
  <si>
    <t>efecty</t>
  </si>
  <si>
    <t>PSE</t>
  </si>
  <si>
    <t>american express</t>
  </si>
  <si>
    <t>Master card</t>
  </si>
  <si>
    <t>Bancolombia</t>
  </si>
  <si>
    <t>nequi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</si>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</sst>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164" formatCode="&quot;$&quot;\ #,##0.00"/>
    <numFmt numFmtId="165" formatCode="&quot;$&quot;#,##0.00"/>
  </numFmts>
  <fonts count="17">
    <font>
      <sz val="8"/>
      <color theme="1"/>
      <name val="Arial"/>
      <scheme val="minor"/>
    </font>
    <font>
      <b/>
      <sz val="22"/>
      <color rgb="FF3F3F3F"/>
      <name val="Calibri"/>
    </font>
    <font>
      <sz val="10"/>
      <color theme="1"/>
      <name val="Calibri"/>
    </font>
    <font>
      <sz val="16"/>
      <color rgb="FF7F7F7F"/>
      <name val="Calibri"/>
    </font>
    <font>
      <sz val="20"/>
      <color theme="1"/>
      <name val="Calibri"/>
    </font>
    <font>
      <b/>
      <sz val="14"/>
      <color theme="0"/>
      <name val="Calibri"/>
    </font>
    <font>
      <sz val="8"/>
      <name val="Arial"/>
    </font>
    <font>
      <b/>
      <sz val="14"/>
      <color rgb="FF0000FF"/>
      <name val="Calibri"/>
    </font>
    <font>
      <sz val="14"/>
      <color rgb="FF595959"/>
      <name val="Calibri"/>
    </font>
    <font>
      <b/>
      <sz val="14"/>
      <color rgb="FF7F7F7F"/>
      <name val="Calibri"/>
    </font>
    <font>
      <sz val="10"/>
      <color rgb="FFFF0000"/>
      <name val="Calibri"/>
    </font>
    <font>
      <b/>
      <sz val="14"/>
      <color rgb="FF595959"/>
      <name val="Calibri"/>
    </font>
    <font>
      <sz val="11"/>
      <color rgb="FF000000"/>
      <name val="Arial"/>
    </font>
    <font>
      <sz val="13"/>
      <color rgb="FF333333"/>
      <name val="Calibri"/>
    </font>
    <font>
      <sz val="10"/>
      <color rgb="FF000000"/>
      <name val="&quot;Trebuchet MS&quot;"/>
    </font>
    <font>
      <sz val="10"/>
      <color theme="1"/>
      <name val="Trebuchet MS"/>
    </font>
    <font>
      <sz val="10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FF"/>
      </left>
      <right/>
      <top style="medium">
        <color rgb="FF0000FF"/>
      </top>
      <bottom style="thin">
        <color theme="0"/>
      </bottom>
      <diagonal/>
    </border>
    <border>
      <left/>
      <right/>
      <top style="medium">
        <color rgb="FF0000FF"/>
      </top>
      <bottom style="thin">
        <color theme="0"/>
      </bottom>
      <diagonal/>
    </border>
    <border>
      <left/>
      <right style="medium">
        <color rgb="FF0000FF"/>
      </right>
      <top style="medium">
        <color rgb="FF0000FF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0000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0000FF"/>
      </right>
      <top style="thin">
        <color theme="0"/>
      </top>
      <bottom style="thin">
        <color theme="0"/>
      </bottom>
      <diagonal/>
    </border>
    <border>
      <left style="medium">
        <color rgb="FF0000FF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rgb="FF0000FF"/>
      </right>
      <top style="thin">
        <color theme="0"/>
      </top>
      <bottom/>
      <diagonal/>
    </border>
    <border>
      <left/>
      <right/>
      <top style="dotted">
        <color rgb="FFF2F2F2"/>
      </top>
      <bottom style="medium">
        <color rgb="FFF2F2F2"/>
      </bottom>
      <diagonal/>
    </border>
    <border>
      <left/>
      <right/>
      <top/>
      <bottom style="medium">
        <color rgb="FFF2F2F2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  <diagonal/>
    </border>
    <border>
      <left style="thin">
        <color theme="0"/>
      </left>
      <right/>
      <top/>
      <bottom/>
      <diagonal/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  <diagonal/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/>
    <xf numFmtId="0" fontId="2" fillId="0" borderId="0" xfId="0" applyFont="1"/>
    <xf numFmtId="0" fontId="3" fillId="0" borderId="0" xfId="0" applyFont="1" applyAlignment="1">
      <alignment vertical="top"/>
    </xf>
    <xf numFmtId="0" fontId="4" fillId="3" borderId="1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9" fillId="5" borderId="6" xfId="0" applyNumberFormat="1" applyFont="1" applyFill="1" applyBorder="1" applyAlignment="1">
      <alignment horizontal="center"/>
    </xf>
    <xf numFmtId="164" fontId="9" fillId="5" borderId="7" xfId="0" applyNumberFormat="1" applyFont="1" applyFill="1" applyBorder="1" applyAlignment="1">
      <alignment horizontal="center"/>
    </xf>
    <xf numFmtId="164" fontId="9" fillId="5" borderId="8" xfId="0" applyNumberFormat="1" applyFont="1" applyFill="1" applyBorder="1" applyAlignment="1">
      <alignment horizontal="center"/>
    </xf>
    <xf numFmtId="164" fontId="9" fillId="5" borderId="9" xfId="0" applyNumberFormat="1" applyFont="1" applyFill="1" applyBorder="1" applyAlignment="1">
      <alignment horizontal="center"/>
    </xf>
    <xf numFmtId="164" fontId="9" fillId="5" borderId="10" xfId="0" applyNumberFormat="1" applyFont="1" applyFill="1" applyBorder="1" applyAlignment="1">
      <alignment horizontal="center"/>
    </xf>
    <xf numFmtId="164" fontId="9" fillId="5" borderId="11" xfId="0" applyNumberFormat="1" applyFont="1" applyFill="1" applyBorder="1" applyAlignment="1">
      <alignment horizontal="center"/>
    </xf>
    <xf numFmtId="0" fontId="10" fillId="0" borderId="0" xfId="0" applyFont="1"/>
    <xf numFmtId="164" fontId="8" fillId="0" borderId="12" xfId="0" applyNumberFormat="1" applyFont="1" applyBorder="1" applyAlignment="1">
      <alignment horizontal="center" vertical="center"/>
    </xf>
    <xf numFmtId="2" fontId="8" fillId="0" borderId="12" xfId="0" applyNumberFormat="1" applyFont="1" applyBorder="1" applyAlignment="1">
      <alignment horizontal="center" vertical="center"/>
    </xf>
    <xf numFmtId="164" fontId="8" fillId="3" borderId="13" xfId="0" applyNumberFormat="1" applyFont="1" applyFill="1" applyBorder="1" applyAlignment="1">
      <alignment horizontal="center" vertical="center"/>
    </xf>
    <xf numFmtId="2" fontId="8" fillId="3" borderId="13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164" fontId="11" fillId="5" borderId="1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7" fillId="0" borderId="16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164" fontId="8" fillId="0" borderId="20" xfId="0" applyNumberFormat="1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164" fontId="8" fillId="0" borderId="24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27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2" fillId="0" borderId="0" xfId="0" applyFont="1"/>
    <xf numFmtId="8" fontId="13" fillId="6" borderId="32" xfId="0" applyNumberFormat="1" applyFont="1" applyFill="1" applyBorder="1" applyAlignment="1">
      <alignment vertical="center" wrapText="1"/>
    </xf>
    <xf numFmtId="8" fontId="13" fillId="6" borderId="33" xfId="0" applyNumberFormat="1" applyFont="1" applyFill="1" applyBorder="1" applyAlignment="1">
      <alignment vertical="center" wrapText="1"/>
    </xf>
    <xf numFmtId="164" fontId="8" fillId="0" borderId="13" xfId="0" applyNumberFormat="1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165" fontId="14" fillId="6" borderId="0" xfId="0" applyNumberFormat="1" applyFont="1" applyFill="1" applyAlignment="1">
      <alignment horizontal="center" vertical="top"/>
    </xf>
    <xf numFmtId="165" fontId="15" fillId="0" borderId="34" xfId="0" applyNumberFormat="1" applyFont="1" applyBorder="1" applyAlignment="1">
      <alignment horizontal="center" vertical="top" wrapText="1"/>
    </xf>
    <xf numFmtId="164" fontId="16" fillId="0" borderId="13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34" xfId="0" applyBorder="1"/>
    <xf numFmtId="0" fontId="8" fillId="0" borderId="34" xfId="0" applyFont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4" fontId="11" fillId="0" borderId="34" xfId="0" applyNumberFormat="1" applyFont="1" applyBorder="1" applyAlignment="1">
      <alignment horizontal="center" vertical="center"/>
    </xf>
    <xf numFmtId="0" fontId="10" fillId="0" borderId="1" xfId="0" applyFont="1" applyBorder="1"/>
    <xf numFmtId="0" fontId="10" fillId="0" borderId="34" xfId="0" applyFont="1" applyBorder="1"/>
    <xf numFmtId="0" fontId="8" fillId="0" borderId="35" xfId="0" applyFont="1" applyBorder="1" applyAlignment="1">
      <alignment horizontal="center" vertical="center"/>
    </xf>
    <xf numFmtId="164" fontId="8" fillId="0" borderId="35" xfId="0" applyNumberFormat="1" applyFont="1" applyBorder="1" applyAlignment="1">
      <alignment horizontal="center" vertical="center"/>
    </xf>
    <xf numFmtId="0" fontId="0" fillId="0" borderId="35" xfId="0" applyBorder="1"/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5" fillId="2" borderId="14" xfId="0" applyFont="1" applyFill="1" applyBorder="1" applyAlignment="1">
      <alignment horizontal="center" vertical="center" wrapText="1"/>
    </xf>
    <xf numFmtId="0" fontId="6" fillId="0" borderId="15" xfId="0" applyFont="1" applyBorder="1"/>
    <xf numFmtId="0" fontId="7" fillId="4" borderId="17" xfId="0" applyFont="1" applyFill="1" applyBorder="1" applyAlignment="1">
      <alignment horizontal="center" vertical="center" wrapText="1"/>
    </xf>
    <xf numFmtId="0" fontId="6" fillId="0" borderId="18" xfId="0" applyFont="1" applyBorder="1"/>
    <xf numFmtId="0" fontId="7" fillId="4" borderId="21" xfId="0" applyFont="1" applyFill="1" applyBorder="1" applyAlignment="1">
      <alignment horizontal="center" vertical="center" wrapText="1"/>
    </xf>
    <xf numFmtId="0" fontId="6" fillId="0" borderId="22" xfId="0" applyFont="1" applyBorder="1"/>
    <xf numFmtId="0" fontId="6" fillId="0" borderId="25" xfId="0" applyFont="1" applyBorder="1"/>
    <xf numFmtId="0" fontId="0" fillId="0" borderId="0" xfId="0"/>
    <xf numFmtId="0" fontId="6" fillId="0" borderId="28" xfId="0" applyFont="1" applyBorder="1"/>
    <xf numFmtId="0" fontId="6" fillId="0" borderId="29" xfId="0" applyFont="1" applyBorder="1"/>
    <xf numFmtId="0" fontId="0" fillId="0" borderId="1" xfId="0" applyBorder="1"/>
  </cellXfs>
  <cellStyles count="1">
    <cellStyle name="Normal" xfId="0" builtinId="0"/>
  </cellStyles>
  <dxfs count="7">
    <dxf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790575</xdr:colOff>
      <xdr:row>3</xdr:row>
      <xdr:rowOff>447675</xdr:rowOff>
    </xdr:from>
    <xdr:ext cx="8086725" cy="61436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00450" y="1571625"/>
          <a:ext cx="8086725" cy="61436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En la plantilla de excel de comparación de precios entre proveedores le permitirá saber que proveedor le da el mejor precio para cada producto que quiera comprar.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Para usarla, sigue estos pasos: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b="1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600"/>
            <a:buFont typeface="Calibri"/>
            <a:buNone/>
          </a:pPr>
          <a:r>
            <a:rPr lang="en-US" sz="1600" i="0" u="none" strike="noStrike">
              <a:solidFill>
                <a:srgbClr val="333333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i="0" u="none" strike="noStrike">
            <a:solidFill>
              <a:srgbClr val="333333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66675</xdr:colOff>
      <xdr:row>0</xdr:row>
      <xdr:rowOff>95250</xdr:rowOff>
    </xdr:from>
    <xdr:ext cx="6657975" cy="762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021775" y="3403763"/>
          <a:ext cx="6648450" cy="752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Calibri"/>
            <a:buNone/>
          </a:pPr>
          <a:r>
            <a:rPr lang="en-US" sz="2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409575</xdr:colOff>
      <xdr:row>0</xdr:row>
      <xdr:rowOff>95250</xdr:rowOff>
    </xdr:from>
    <xdr:ext cx="2028825" cy="762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336350" y="3403763"/>
          <a:ext cx="2019300" cy="752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CCFFFF"/>
            </a:buClr>
            <a:buSzPts val="1400"/>
            <a:buFont typeface="Arial Rounded"/>
            <a:buNone/>
          </a:pPr>
          <a:r>
            <a:rPr lang="en-US" sz="1400" b="1" i="0" u="none" strike="noStrike">
              <a:solidFill>
                <a:srgbClr val="CCFF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686675" cy="74295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120565CF-3350-4E27-99AB-D06751992C95}"/>
            </a:ext>
          </a:extLst>
        </xdr:cNvPr>
        <xdr:cNvSpPr/>
      </xdr:nvSpPr>
      <xdr:spPr>
        <a:xfrm>
          <a:off x="228600" y="190500"/>
          <a:ext cx="7686675" cy="742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Calibri"/>
            <a:buNone/>
          </a:pPr>
          <a:r>
            <a:rPr lang="en-US" sz="2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742950</xdr:colOff>
      <xdr:row>1</xdr:row>
      <xdr:rowOff>133350</xdr:rowOff>
    </xdr:from>
    <xdr:ext cx="3028950" cy="476250"/>
    <xdr:sp macro="" textlink="">
      <xdr:nvSpPr>
        <xdr:cNvPr id="3" name="Shape 7">
          <a:extLst>
            <a:ext uri="{FF2B5EF4-FFF2-40B4-BE49-F238E27FC236}">
              <a16:creationId xmlns:a16="http://schemas.microsoft.com/office/drawing/2014/main" id="{37A1E1FB-3E6B-406B-B049-1EBE86C6EC76}"/>
            </a:ext>
            <a:ext uri="{147F2762-F138-4A5C-976F-8EAC2B608ADB}">
              <a16:predDERef xmlns:a16="http://schemas.microsoft.com/office/drawing/2014/main" pred="{120565CF-3350-4E27-99AB-D06751992C95}"/>
            </a:ext>
          </a:extLst>
        </xdr:cNvPr>
        <xdr:cNvSpPr/>
      </xdr:nvSpPr>
      <xdr:spPr>
        <a:xfrm>
          <a:off x="12001500" y="323850"/>
          <a:ext cx="302895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CCCCFF"/>
            </a:buClr>
            <a:buSzPts val="1400"/>
            <a:buFont typeface="Arial Rounded"/>
            <a:buNone/>
          </a:pPr>
          <a:r>
            <a:rPr lang="en-US" sz="1400" b="1" i="0" u="none" strike="noStrike">
              <a:solidFill>
                <a:srgbClr val="CCCC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686675" cy="7429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507425" y="3413288"/>
          <a:ext cx="7677150" cy="733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Calibri"/>
            <a:buNone/>
          </a:pPr>
          <a:r>
            <a:rPr lang="en-US" sz="2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742950</xdr:colOff>
      <xdr:row>1</xdr:row>
      <xdr:rowOff>133350</xdr:rowOff>
    </xdr:from>
    <xdr:ext cx="3028950" cy="4762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836288" y="3546638"/>
          <a:ext cx="301942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CCCCFF"/>
            </a:buClr>
            <a:buSzPts val="1400"/>
            <a:buFont typeface="Arial Rounded"/>
            <a:buNone/>
          </a:pPr>
          <a:r>
            <a:rPr lang="en-US" sz="1400" b="1" i="0" u="none" strike="noStrike">
              <a:solidFill>
                <a:srgbClr val="CCCC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adro-de-Cotizaciones%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res "/>
      <sheetName val="monitor"/>
      <sheetName val="computador portatil"/>
      <sheetName val="+hosting"/>
      <sheetName val="dominio"/>
      <sheetName val="suscripciones o servicios"/>
      <sheetName val="teclados"/>
      <sheetName val="Moueses"/>
      <sheetName val="internet"/>
      <sheetName val="bases de datos"/>
      <sheetName val="editores de codigo"/>
      <sheetName val="mockup"/>
      <sheetName val="Antivirus"/>
    </sheetNames>
    <sheetDataSet>
      <sheetData sheetId="0">
        <row r="8">
          <cell r="H8">
            <v>2204910</v>
          </cell>
        </row>
        <row r="9">
          <cell r="H9">
            <v>2294915</v>
          </cell>
        </row>
        <row r="10">
          <cell r="G10">
            <v>8820000</v>
          </cell>
        </row>
      </sheetData>
      <sheetData sheetId="1">
        <row r="8">
          <cell r="H8">
            <v>749900</v>
          </cell>
        </row>
        <row r="9">
          <cell r="H9">
            <v>749900</v>
          </cell>
        </row>
        <row r="10">
          <cell r="H10">
            <v>861900</v>
          </cell>
        </row>
      </sheetData>
      <sheetData sheetId="2">
        <row r="8">
          <cell r="H8">
            <v>3558870</v>
          </cell>
        </row>
        <row r="9">
          <cell r="H9">
            <v>3999900</v>
          </cell>
        </row>
        <row r="10">
          <cell r="H10">
            <v>3599000</v>
          </cell>
        </row>
      </sheetData>
      <sheetData sheetId="3">
        <row r="8">
          <cell r="H8">
            <v>300000</v>
          </cell>
        </row>
        <row r="9">
          <cell r="H9">
            <v>469743.79</v>
          </cell>
        </row>
        <row r="10">
          <cell r="H10">
            <v>371700</v>
          </cell>
        </row>
      </sheetData>
      <sheetData sheetId="4">
        <row r="8">
          <cell r="H8">
            <v>16900</v>
          </cell>
        </row>
        <row r="9">
          <cell r="H9">
            <v>52500</v>
          </cell>
        </row>
        <row r="10">
          <cell r="H10">
            <v>51250.999999994805</v>
          </cell>
        </row>
      </sheetData>
      <sheetData sheetId="5">
        <row r="8">
          <cell r="H8">
            <v>349999</v>
          </cell>
        </row>
        <row r="9">
          <cell r="H9">
            <v>219000</v>
          </cell>
        </row>
        <row r="10">
          <cell r="H10">
            <v>289900</v>
          </cell>
        </row>
      </sheetData>
      <sheetData sheetId="6">
        <row r="8">
          <cell r="H8">
            <v>79900</v>
          </cell>
        </row>
        <row r="9">
          <cell r="H9">
            <v>28900</v>
          </cell>
        </row>
        <row r="10">
          <cell r="H10">
            <v>54900</v>
          </cell>
        </row>
      </sheetData>
      <sheetData sheetId="7">
        <row r="8">
          <cell r="H8">
            <v>23100</v>
          </cell>
        </row>
        <row r="9">
          <cell r="H9">
            <v>20000</v>
          </cell>
        </row>
        <row r="10">
          <cell r="H10">
            <v>54900</v>
          </cell>
        </row>
      </sheetData>
      <sheetData sheetId="8">
        <row r="8">
          <cell r="H8">
            <v>76792</v>
          </cell>
        </row>
        <row r="9">
          <cell r="H9">
            <v>52950</v>
          </cell>
        </row>
        <row r="10">
          <cell r="H10">
            <v>442600</v>
          </cell>
        </row>
      </sheetData>
      <sheetData sheetId="9">
        <row r="8">
          <cell r="H8">
            <v>222961.19999999998</v>
          </cell>
        </row>
        <row r="9">
          <cell r="H9">
            <v>1961875</v>
          </cell>
        </row>
        <row r="10">
          <cell r="H10">
            <v>273.89999999999998</v>
          </cell>
        </row>
      </sheetData>
      <sheetData sheetId="10">
        <row r="8">
          <cell r="H8">
            <v>388401.75</v>
          </cell>
        </row>
        <row r="9">
          <cell r="H9">
            <v>231471.75</v>
          </cell>
        </row>
        <row r="10">
          <cell r="H10">
            <v>176546.25</v>
          </cell>
        </row>
      </sheetData>
      <sheetData sheetId="11">
        <row r="8">
          <cell r="H8">
            <v>191668.4</v>
          </cell>
        </row>
        <row r="9">
          <cell r="H9">
            <v>15607.284</v>
          </cell>
        </row>
        <row r="10">
          <cell r="H10">
            <v>64541.4</v>
          </cell>
        </row>
      </sheetData>
      <sheetData sheetId="12">
        <row r="8">
          <cell r="H8">
            <v>159990</v>
          </cell>
        </row>
        <row r="9">
          <cell r="H9">
            <v>160000</v>
          </cell>
        </row>
        <row r="10">
          <cell r="H10">
            <v>432000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showGridLines="0" workbookViewId="0"/>
  </sheetViews>
  <sheetFormatPr baseColWidth="10" defaultColWidth="16.83203125" defaultRowHeight="15" customHeight="1"/>
  <cols>
    <col min="1" max="1" width="4.83203125" customWidth="1"/>
    <col min="2" max="11" width="22.1640625" customWidth="1"/>
    <col min="12" max="26" width="10" customWidth="1"/>
  </cols>
  <sheetData>
    <row r="4" spans="2:2" ht="42" customHeight="1">
      <c r="B4" s="1" t="s">
        <v>0</v>
      </c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15BA-8FB2-4506-9C74-F44FB334136D}">
  <dimension ref="B5:L34"/>
  <sheetViews>
    <sheetView showGridLines="0" tabSelected="1" workbookViewId="0">
      <selection activeCell="D10" sqref="D10"/>
    </sheetView>
  </sheetViews>
  <sheetFormatPr baseColWidth="10" defaultColWidth="16.83203125" defaultRowHeight="15" customHeight="1"/>
  <cols>
    <col min="1" max="1" width="4" customWidth="1"/>
    <col min="2" max="2" width="23.5" customWidth="1"/>
    <col min="3" max="3" width="31.5" customWidth="1"/>
    <col min="4" max="4" width="23.5" customWidth="1"/>
    <col min="5" max="5" width="22.33203125" customWidth="1"/>
    <col min="6" max="6" width="25.1640625" customWidth="1"/>
    <col min="7" max="9" width="22.33203125" customWidth="1"/>
    <col min="10" max="10" width="27.33203125" customWidth="1"/>
    <col min="11" max="11" width="23.5" customWidth="1"/>
    <col min="12" max="12" width="24.83203125" customWidth="1"/>
    <col min="13" max="13" width="20.5" customWidth="1"/>
    <col min="14" max="14" width="20.6640625" customWidth="1"/>
    <col min="15" max="26" width="10" customWidth="1"/>
  </cols>
  <sheetData>
    <row r="5" spans="2:12" ht="28.5" customHeight="1">
      <c r="B5" s="1" t="s">
        <v>1</v>
      </c>
      <c r="C5" s="1"/>
      <c r="D5" s="2"/>
      <c r="E5" s="2"/>
      <c r="F5" s="2"/>
      <c r="G5" s="2"/>
      <c r="H5" s="2"/>
      <c r="I5" s="2"/>
      <c r="J5" s="2"/>
      <c r="K5" s="3"/>
      <c r="L5" s="3"/>
    </row>
    <row r="6" spans="2:12" ht="29.25" customHeight="1">
      <c r="B6" s="4" t="s">
        <v>2</v>
      </c>
      <c r="C6" s="4"/>
      <c r="D6" s="1"/>
      <c r="E6" s="1"/>
      <c r="F6" s="1"/>
      <c r="G6" s="1"/>
      <c r="H6" s="1"/>
      <c r="I6" s="1"/>
      <c r="J6" s="5"/>
      <c r="K6" s="5"/>
      <c r="L6" s="5"/>
    </row>
    <row r="7" spans="2:12" ht="24.75" customHeight="1">
      <c r="B7" s="2"/>
      <c r="C7" s="2"/>
      <c r="D7" s="2"/>
      <c r="E7" s="2"/>
      <c r="F7" s="2"/>
      <c r="G7" s="2"/>
      <c r="H7" s="2"/>
      <c r="I7" s="2"/>
      <c r="J7" s="58" t="s">
        <v>3</v>
      </c>
      <c r="K7" s="59"/>
      <c r="L7" s="60"/>
    </row>
    <row r="8" spans="2:12" ht="46.5" customHeight="1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7" t="s">
        <v>12</v>
      </c>
      <c r="K8" s="8" t="s">
        <v>13</v>
      </c>
      <c r="L8" s="9" t="s">
        <v>14</v>
      </c>
    </row>
    <row r="9" spans="2:12" ht="19.5" customHeight="1">
      <c r="B9" s="43" t="s">
        <v>15</v>
      </c>
      <c r="C9" s="44">
        <v>3</v>
      </c>
      <c r="D9" s="45">
        <f>'[1]Torres '!$H$8</f>
        <v>2204910</v>
      </c>
      <c r="E9" s="46">
        <f>'[1]Torres '!$H$9</f>
        <v>2294915</v>
      </c>
      <c r="F9" s="46">
        <f>'[1]Torres '!$G$10</f>
        <v>8820000</v>
      </c>
      <c r="G9" s="43"/>
      <c r="H9" s="43"/>
      <c r="I9" s="43"/>
      <c r="J9" s="10">
        <f>MIN('Precios nosotros'!$D9:$I9)</f>
        <v>2204910</v>
      </c>
      <c r="K9" s="11">
        <f>IFERROR(AVERAGE('Precios nosotros'!$D9:$I9),0)</f>
        <v>4439941.666666667</v>
      </c>
      <c r="L9" s="12">
        <f>MAX('Precios nosotros'!$D9:$I9)</f>
        <v>8820000</v>
      </c>
    </row>
    <row r="10" spans="2:12" ht="19.5" customHeight="1">
      <c r="B10" s="43" t="s">
        <v>16</v>
      </c>
      <c r="C10" s="44">
        <v>3</v>
      </c>
      <c r="D10" s="46">
        <f>[1]monitor!$H$8</f>
        <v>749900</v>
      </c>
      <c r="E10" s="46">
        <f>[1]monitor!$H$9</f>
        <v>749900</v>
      </c>
      <c r="F10" s="46">
        <f>[1]monitor!$H$10</f>
        <v>861900</v>
      </c>
      <c r="G10" s="43"/>
      <c r="H10" s="43"/>
      <c r="I10" s="43"/>
      <c r="J10" s="10">
        <f>MIN('Precios nosotros'!$D10:$I10)</f>
        <v>749900</v>
      </c>
      <c r="K10" s="11">
        <f>IFERROR(AVERAGE('Precios nosotros'!$D10:$I10),0)</f>
        <v>787233.33333333337</v>
      </c>
      <c r="L10" s="12">
        <f>MAX('Precios nosotros'!$D10:$I10)</f>
        <v>861900</v>
      </c>
    </row>
    <row r="11" spans="2:12" ht="19.5" customHeight="1">
      <c r="B11" s="43" t="s">
        <v>17</v>
      </c>
      <c r="C11" s="44">
        <v>3</v>
      </c>
      <c r="D11" s="47">
        <f>'[1]computador portatil'!$H$8</f>
        <v>3558870</v>
      </c>
      <c r="E11" s="47">
        <f>'[1]computador portatil'!$H$9</f>
        <v>3999900</v>
      </c>
      <c r="F11" s="47">
        <f>'[1]computador portatil'!$H$10</f>
        <v>3599000</v>
      </c>
      <c r="G11" s="43"/>
      <c r="H11" s="43"/>
      <c r="I11" s="43"/>
      <c r="J11" s="10">
        <f>MIN('Precios nosotros'!$D11:$I11)</f>
        <v>3558870</v>
      </c>
      <c r="K11" s="11">
        <f>IFERROR(AVERAGE('Precios nosotros'!$D11:$I11),0)</f>
        <v>3719256.6666666665</v>
      </c>
      <c r="L11" s="12">
        <f>MAX('Precios nosotros'!$D11:$I11)</f>
        <v>3999900</v>
      </c>
    </row>
    <row r="12" spans="2:12" ht="19.5" customHeight="1">
      <c r="B12" s="43" t="s">
        <v>18</v>
      </c>
      <c r="C12" s="44">
        <v>1</v>
      </c>
      <c r="D12" s="43">
        <f>'[1]+hosting'!$H$8</f>
        <v>300000</v>
      </c>
      <c r="E12" s="43">
        <f>'[1]+hosting'!$H$9</f>
        <v>469743.79</v>
      </c>
      <c r="F12" s="43">
        <f>'[1]+hosting'!$H$10</f>
        <v>371700</v>
      </c>
      <c r="G12" s="43"/>
      <c r="H12" s="43"/>
      <c r="I12" s="43"/>
      <c r="J12" s="10">
        <f>MIN('Precios nosotros'!$D12:$I12)</f>
        <v>300000</v>
      </c>
      <c r="K12" s="11">
        <f>IFERROR(AVERAGE('Precios nosotros'!$D12:$I12),0)</f>
        <v>380481.26333333337</v>
      </c>
      <c r="L12" s="12">
        <f>MAX('Precios nosotros'!$D12:$I12)</f>
        <v>469743.79</v>
      </c>
    </row>
    <row r="13" spans="2:12" ht="19.5" customHeight="1">
      <c r="B13" s="43" t="s">
        <v>19</v>
      </c>
      <c r="C13" s="44">
        <v>3</v>
      </c>
      <c r="D13" s="43">
        <f>[1]teclados!$H$8</f>
        <v>79900</v>
      </c>
      <c r="E13" s="43">
        <f>[1]teclados!$H$9</f>
        <v>28900</v>
      </c>
      <c r="F13" s="43">
        <f>[1]teclados!$H$10</f>
        <v>54900</v>
      </c>
      <c r="G13" s="43"/>
      <c r="H13" s="43"/>
      <c r="I13" s="43"/>
      <c r="J13" s="10">
        <f>MIN('Precios nosotros'!$D13:$I13)</f>
        <v>28900</v>
      </c>
      <c r="K13" s="11">
        <f>IFERROR(AVERAGE('Precios nosotros'!$D13:$I13),0)</f>
        <v>54566.666666666664</v>
      </c>
      <c r="L13" s="12">
        <f>MAX('Precios nosotros'!$D13:$I13)</f>
        <v>79900</v>
      </c>
    </row>
    <row r="14" spans="2:12" ht="19.5" customHeight="1">
      <c r="B14" s="43" t="s">
        <v>20</v>
      </c>
      <c r="C14" s="44">
        <v>3</v>
      </c>
      <c r="D14" s="43">
        <f>[1]Moueses!$H$8</f>
        <v>23100</v>
      </c>
      <c r="E14" s="43">
        <f>[1]Moueses!$H$9</f>
        <v>20000</v>
      </c>
      <c r="F14" s="43">
        <f>[1]Moueses!$H$10</f>
        <v>54900</v>
      </c>
      <c r="G14" s="43"/>
      <c r="H14" s="43"/>
      <c r="I14" s="43"/>
      <c r="J14" s="13">
        <f>MIN('Precios nosotros'!$D14:$I14)</f>
        <v>20000</v>
      </c>
      <c r="K14" s="14">
        <f>IFERROR(AVERAGE('Precios nosotros'!$D14:$I14),0)</f>
        <v>32666.666666666668</v>
      </c>
      <c r="L14" s="15">
        <f>MAX('Precios nosotros'!$D14:$I14)</f>
        <v>54900</v>
      </c>
    </row>
    <row r="15" spans="2:12" ht="19.5" customHeight="1">
      <c r="B15" s="17" t="s">
        <v>21</v>
      </c>
      <c r="C15" s="18">
        <v>3</v>
      </c>
      <c r="D15" s="17">
        <f>[1]Antivirus!$H$8</f>
        <v>159990</v>
      </c>
      <c r="E15" s="17">
        <f>[1]Antivirus!$H$9</f>
        <v>160000</v>
      </c>
      <c r="F15" s="17">
        <f>[1]Antivirus!$H$10</f>
        <v>432000</v>
      </c>
      <c r="G15" s="17"/>
      <c r="H15" s="17"/>
      <c r="I15" s="17"/>
      <c r="J15" s="13">
        <f>MIN('Precios nosotros'!$D15:$I15)</f>
        <v>159990</v>
      </c>
      <c r="K15" s="11">
        <f>IFERROR(AVERAGE('Precios nosotros'!$D15:$I15),0)</f>
        <v>250663.33333333334</v>
      </c>
      <c r="L15" s="12">
        <f>MAX('Precios nosotros'!$D15:$I15)</f>
        <v>432000</v>
      </c>
    </row>
    <row r="16" spans="2:12" ht="19.5" customHeight="1">
      <c r="B16" s="17" t="s">
        <v>22</v>
      </c>
      <c r="C16" s="18">
        <v>6</v>
      </c>
      <c r="D16" s="17">
        <f>[1]mockup!$H$8</f>
        <v>191668.4</v>
      </c>
      <c r="E16" s="17">
        <f>[1]mockup!$H$9</f>
        <v>15607.284</v>
      </c>
      <c r="F16" s="17">
        <f>[1]mockup!$H$10</f>
        <v>64541.4</v>
      </c>
      <c r="G16" s="17"/>
      <c r="H16" s="17"/>
      <c r="I16" s="17"/>
      <c r="J16" s="13">
        <f>MIN('Precios nosotros'!$D16:$I16)</f>
        <v>15607.284</v>
      </c>
      <c r="K16" s="11">
        <f>IFERROR(AVERAGE('Precios nosotros'!$D16:$I16),0)</f>
        <v>90605.694666666677</v>
      </c>
      <c r="L16" s="12">
        <f>MAX('Precios nosotros'!$D16:$I16)</f>
        <v>191668.4</v>
      </c>
    </row>
    <row r="17" spans="2:12" ht="19.5" customHeight="1">
      <c r="B17" s="17" t="s">
        <v>23</v>
      </c>
      <c r="C17" s="18">
        <v>1</v>
      </c>
      <c r="D17" s="46">
        <f>[1]internet!$H$8</f>
        <v>76792</v>
      </c>
      <c r="E17" s="46">
        <f>[1]internet!$H$9</f>
        <v>52950</v>
      </c>
      <c r="F17" s="46">
        <f>[1]internet!$H$10</f>
        <v>442600</v>
      </c>
      <c r="G17" s="17"/>
      <c r="H17" s="17"/>
      <c r="I17" s="17"/>
      <c r="J17" s="13">
        <f>MIN('Precios nosotros'!$D17:$I17)</f>
        <v>52950</v>
      </c>
      <c r="K17" s="14">
        <f>IFERROR(AVERAGE('Precios nosotros'!$D17:$I17),0)</f>
        <v>190780.66666666666</v>
      </c>
      <c r="L17" s="15">
        <f>MAX('Precios nosotros'!$D17:$I17)</f>
        <v>442600</v>
      </c>
    </row>
    <row r="18" spans="2:12" ht="19.5" customHeight="1">
      <c r="B18" s="19" t="s">
        <v>24</v>
      </c>
      <c r="C18" s="20">
        <v>3</v>
      </c>
      <c r="D18" s="21">
        <f>'[1]editores de codigo'!$H$8</f>
        <v>388401.75</v>
      </c>
      <c r="E18" s="21">
        <f>'[1]editores de codigo'!$H$9</f>
        <v>231471.75</v>
      </c>
      <c r="F18" s="21">
        <f>'[1]editores de codigo'!$H$10</f>
        <v>176546.25</v>
      </c>
      <c r="G18" s="21"/>
      <c r="H18" s="19"/>
      <c r="I18" s="22"/>
      <c r="J18" s="13">
        <f>MIN('Precios nosotros'!$D18:$I18)</f>
        <v>176546.25</v>
      </c>
      <c r="K18" s="11">
        <f>IFERROR(AVERAGE('Precios nosotros'!$D18:$I18),0)</f>
        <v>265473.25</v>
      </c>
      <c r="L18" s="12">
        <f>MAX('Precios nosotros'!$D18:$I18)</f>
        <v>388401.75</v>
      </c>
    </row>
    <row r="19" spans="2:12" ht="19.5" customHeight="1">
      <c r="B19" s="19" t="s">
        <v>25</v>
      </c>
      <c r="C19" s="20">
        <v>1</v>
      </c>
      <c r="D19" s="21">
        <f>'[1]bases de datos'!$H$8</f>
        <v>222961.19999999998</v>
      </c>
      <c r="E19" s="21">
        <f>'[1]bases de datos'!$H$9</f>
        <v>1961875</v>
      </c>
      <c r="F19" s="21">
        <f>'[1]bases de datos'!$H$10</f>
        <v>273.89999999999998</v>
      </c>
      <c r="G19" s="21"/>
      <c r="H19" s="19"/>
      <c r="I19" s="22"/>
      <c r="J19" s="13">
        <f>MIN('Precios nosotros'!$D19:$I19)</f>
        <v>273.89999999999998</v>
      </c>
      <c r="K19" s="11">
        <f>IFERROR(AVERAGE('Precios nosotros'!$D19:$I19),0)</f>
        <v>728370.03333333333</v>
      </c>
      <c r="L19" s="12">
        <f>MAX('Precios nosotros'!$D19:$I19)</f>
        <v>1961875</v>
      </c>
    </row>
    <row r="20" spans="2:12" ht="19.5" customHeight="1">
      <c r="B20" s="19" t="s">
        <v>26</v>
      </c>
      <c r="C20" s="20">
        <v>1</v>
      </c>
      <c r="D20" s="21">
        <f>[1]dominio!$H$8</f>
        <v>16900</v>
      </c>
      <c r="E20" s="21">
        <f>[1]dominio!$H$9</f>
        <v>52500</v>
      </c>
      <c r="F20" s="21">
        <f>[1]dominio!$H$10</f>
        <v>51250.999999994805</v>
      </c>
      <c r="G20" s="21"/>
      <c r="H20" s="19"/>
      <c r="I20" s="22"/>
      <c r="J20" s="13">
        <f>MIN('Precios nosotros'!$D20:$I20)</f>
        <v>16900</v>
      </c>
      <c r="K20" s="11">
        <f>IFERROR(AVERAGE('Precios nosotros'!$D20:$I20),0)</f>
        <v>40216.999999998268</v>
      </c>
      <c r="L20" s="12">
        <f>MAX('Precios nosotros'!$D20:$I20)</f>
        <v>52500</v>
      </c>
    </row>
    <row r="21" spans="2:12" ht="19.5" customHeight="1">
      <c r="B21" s="19" t="s">
        <v>27</v>
      </c>
      <c r="C21" s="20">
        <v>1</v>
      </c>
      <c r="D21" s="21">
        <f>'[1]suscripciones o servicios'!$H$8</f>
        <v>349999</v>
      </c>
      <c r="E21" s="21">
        <f>'[1]suscripciones o servicios'!$H$9</f>
        <v>219000</v>
      </c>
      <c r="F21" s="21">
        <f>'[1]suscripciones o servicios'!$H$10</f>
        <v>289900</v>
      </c>
      <c r="G21" s="21"/>
      <c r="H21" s="19"/>
      <c r="I21" s="22"/>
      <c r="J21" s="13">
        <f>MIN('Precios nosotros'!$D21:$I21)</f>
        <v>219000</v>
      </c>
      <c r="K21" s="11">
        <f>IFERROR(AVERAGE('Precios nosotros'!$D21:$I21),0)</f>
        <v>286299.66666666669</v>
      </c>
      <c r="L21" s="12">
        <f>MAX('Precios nosotros'!$D21:$I21)</f>
        <v>349999</v>
      </c>
    </row>
    <row r="22" spans="2:12" ht="19.5" customHeight="1">
      <c r="B22" s="19"/>
      <c r="C22" s="20"/>
      <c r="D22" s="21"/>
      <c r="E22" s="21"/>
      <c r="F22" s="21"/>
      <c r="G22" s="21"/>
      <c r="H22" s="19"/>
      <c r="I22" s="22"/>
      <c r="J22" s="13">
        <f>MIN('Precios nosotros'!$D22:$I22)</f>
        <v>0</v>
      </c>
      <c r="K22" s="11">
        <f>IFERROR(AVERAGE('Precios nosotros'!$D22:$I22),0)</f>
        <v>0</v>
      </c>
      <c r="L22" s="12">
        <f>MAX('Precios nosotros'!$D22:$I22)</f>
        <v>0</v>
      </c>
    </row>
    <row r="23" spans="2:12" ht="19.5" customHeight="1">
      <c r="B23" s="19"/>
      <c r="C23" s="20"/>
      <c r="D23" s="21"/>
      <c r="E23" s="21"/>
      <c r="F23" s="21"/>
      <c r="G23" s="21"/>
      <c r="H23" s="19"/>
      <c r="I23" s="22"/>
      <c r="J23" s="13">
        <f>MIN('Precios nosotros'!$D23:$I23)</f>
        <v>0</v>
      </c>
      <c r="K23" s="11">
        <f>IFERROR(AVERAGE('Precios nosotros'!$D23:$I23),0)</f>
        <v>0</v>
      </c>
      <c r="L23" s="12">
        <f>MAX('Precios nosotros'!$D23:$I23)</f>
        <v>0</v>
      </c>
    </row>
    <row r="24" spans="2:12" ht="24" customHeight="1">
      <c r="B24" s="19"/>
      <c r="C24" s="20"/>
      <c r="D24" s="21"/>
      <c r="E24" s="21"/>
      <c r="F24" s="21"/>
      <c r="G24" s="21"/>
      <c r="H24" s="19"/>
      <c r="I24" s="22"/>
      <c r="J24" s="13">
        <f>MIN('Precios nosotros'!$D24:$I24)</f>
        <v>0</v>
      </c>
      <c r="K24" s="11">
        <f>IFERROR(AVERAGE('Precios nosotros'!$D24:$I24),0)</f>
        <v>0</v>
      </c>
      <c r="L24" s="12">
        <f>MAX('Precios nosotros'!$D24:$I24)</f>
        <v>0</v>
      </c>
    </row>
    <row r="25" spans="2:12" ht="19.5" customHeight="1">
      <c r="B25" s="23" t="s">
        <v>28</v>
      </c>
      <c r="C25" s="23"/>
      <c r="D25" s="24">
        <f>ROUND(SUMPRODUCT(C9:C24,D9:D24),2)</f>
        <v>23611877.850000001</v>
      </c>
      <c r="E25" s="24">
        <f>ROUND(SUMPRODUCT(C9:C24,E9:E24),2)</f>
        <v>25304972.739999998</v>
      </c>
      <c r="F25" s="24">
        <f>ROUND(SUMPRODUCT(C9:C24,F9:F24),2)</f>
        <v>43540712.049999997</v>
      </c>
      <c r="G25" s="24">
        <f>ROUND(SUMPRODUCT(C9:C24,G9:G24),2)</f>
        <v>0</v>
      </c>
      <c r="H25" s="24">
        <f>ROUND(SUMPRODUCT(C9:C24,H9:H24),2)</f>
        <v>0</v>
      </c>
      <c r="I25" s="24">
        <f>ROUND(SUMPRODUCT(C9:C24,I9:I24),2)</f>
        <v>0</v>
      </c>
      <c r="J25" s="25"/>
      <c r="K25" s="25"/>
      <c r="L25" s="26"/>
    </row>
    <row r="26" spans="2:12" ht="12.75" customHeight="1"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</row>
    <row r="27" spans="2:12" ht="13.5" customHeight="1"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</row>
    <row r="28" spans="2:12" ht="48" customHeight="1">
      <c r="B28" s="61" t="s">
        <v>29</v>
      </c>
      <c r="C28" s="62"/>
      <c r="D28" s="27"/>
      <c r="E28" s="27"/>
      <c r="F28" s="27"/>
      <c r="G28" s="27"/>
      <c r="H28" s="27"/>
      <c r="I28" s="16"/>
      <c r="J28" s="16"/>
      <c r="K28" s="16"/>
      <c r="L28" s="16"/>
    </row>
    <row r="29" spans="2:12" ht="33" customHeight="1">
      <c r="B29" s="63" t="s">
        <v>30</v>
      </c>
      <c r="C29" s="64"/>
      <c r="D29" s="28">
        <v>12</v>
      </c>
      <c r="E29" s="29">
        <v>1</v>
      </c>
      <c r="F29" s="29">
        <v>0</v>
      </c>
      <c r="G29" s="29"/>
      <c r="H29" s="29"/>
      <c r="I29" s="29"/>
      <c r="J29" s="16"/>
      <c r="K29" s="16"/>
      <c r="L29" s="16"/>
    </row>
    <row r="30" spans="2:12" ht="25.5" customHeight="1">
      <c r="B30" s="63" t="s">
        <v>31</v>
      </c>
      <c r="C30" s="64"/>
      <c r="D30" s="30">
        <v>12727</v>
      </c>
      <c r="E30" s="31">
        <v>10000</v>
      </c>
      <c r="F30" s="31">
        <v>9000</v>
      </c>
      <c r="G30" s="29"/>
      <c r="H30" s="31"/>
      <c r="I30" s="31"/>
      <c r="J30" s="16"/>
      <c r="K30" s="16"/>
      <c r="L30" s="16"/>
    </row>
    <row r="31" spans="2:12" ht="18" customHeight="1">
      <c r="B31" s="65" t="s">
        <v>32</v>
      </c>
      <c r="C31" s="66"/>
      <c r="D31" s="32" t="s">
        <v>33</v>
      </c>
      <c r="E31" s="33" t="s">
        <v>34</v>
      </c>
      <c r="F31" s="33" t="s">
        <v>35</v>
      </c>
      <c r="G31" s="33" t="s">
        <v>36</v>
      </c>
      <c r="H31" s="33"/>
      <c r="I31" s="33"/>
      <c r="J31" s="16"/>
      <c r="K31" s="16"/>
      <c r="L31" s="16"/>
    </row>
    <row r="32" spans="2:12" ht="18.75" customHeight="1">
      <c r="B32" s="67"/>
      <c r="C32" s="68"/>
      <c r="D32" s="34" t="s">
        <v>37</v>
      </c>
      <c r="E32" s="35" t="s">
        <v>38</v>
      </c>
      <c r="F32" s="35" t="s">
        <v>39</v>
      </c>
      <c r="G32" s="35" t="s">
        <v>40</v>
      </c>
      <c r="H32" s="35"/>
      <c r="I32" s="35"/>
      <c r="J32" s="16"/>
      <c r="K32" s="16"/>
      <c r="L32" s="16"/>
    </row>
    <row r="33" spans="2:7" ht="18.75" customHeight="1">
      <c r="B33" s="67"/>
      <c r="C33" s="68"/>
      <c r="D33" s="36"/>
      <c r="E33" s="37"/>
      <c r="F33" s="37"/>
      <c r="G33" s="37"/>
    </row>
    <row r="34" spans="2:7" ht="18.75" customHeight="1">
      <c r="B34" s="69"/>
      <c r="C34" s="70"/>
      <c r="D34" s="38"/>
      <c r="E34" s="39"/>
      <c r="F34" s="39"/>
      <c r="G34" s="39"/>
    </row>
  </sheetData>
  <mergeCells count="5">
    <mergeCell ref="J7:L7"/>
    <mergeCell ref="B28:C28"/>
    <mergeCell ref="B29:C29"/>
    <mergeCell ref="B30:C30"/>
    <mergeCell ref="B31:C34"/>
  </mergeCells>
  <conditionalFormatting sqref="B8:I8">
    <cfRule type="expression" dxfId="6" priority="1">
      <formula>AND(B$25=MIN($D$25:$I$25),B$25&lt;&gt;0)</formula>
    </cfRule>
  </conditionalFormatting>
  <conditionalFormatting sqref="D9:I9 F10:I10 D11:I24">
    <cfRule type="expression" dxfId="5" priority="3">
      <formula>AND(D$25=MIN($D$25:$I$25),D$25&lt;&gt;0)</formula>
    </cfRule>
  </conditionalFormatting>
  <conditionalFormatting sqref="D25:I25">
    <cfRule type="expression" dxfId="4" priority="2">
      <formula>AND(D$25=MIN($D$25:$I$25),D$25&lt;&gt;0)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M35"/>
  <sheetViews>
    <sheetView showGridLines="0" workbookViewId="0">
      <selection activeCell="D20" sqref="D20"/>
    </sheetView>
  </sheetViews>
  <sheetFormatPr baseColWidth="10" defaultColWidth="16.83203125" defaultRowHeight="15" customHeight="1"/>
  <cols>
    <col min="1" max="1" width="4" customWidth="1"/>
    <col min="2" max="2" width="23.5" customWidth="1"/>
    <col min="3" max="3" width="31.5" customWidth="1"/>
    <col min="4" max="4" width="23.5" customWidth="1"/>
    <col min="5" max="5" width="22.33203125" customWidth="1"/>
    <col min="6" max="6" width="25.1640625" customWidth="1"/>
    <col min="7" max="9" width="22.33203125" customWidth="1"/>
    <col min="10" max="10" width="27.33203125" customWidth="1"/>
    <col min="11" max="11" width="23.5" customWidth="1"/>
    <col min="12" max="12" width="24.83203125" customWidth="1"/>
    <col min="13" max="13" width="20.5" customWidth="1"/>
    <col min="14" max="14" width="20.6640625" customWidth="1"/>
    <col min="15" max="26" width="10" customWidth="1"/>
  </cols>
  <sheetData>
    <row r="5" spans="2:12" ht="28.5" customHeight="1">
      <c r="B5" s="1" t="s">
        <v>1</v>
      </c>
      <c r="C5" s="1"/>
      <c r="D5" s="2"/>
      <c r="E5" s="2"/>
      <c r="F5" s="2"/>
      <c r="G5" s="2"/>
      <c r="H5" s="2"/>
      <c r="I5" s="2"/>
      <c r="J5" s="2"/>
      <c r="K5" s="3"/>
      <c r="L5" s="3"/>
    </row>
    <row r="6" spans="2:12" ht="29.25" customHeight="1">
      <c r="B6" s="4" t="s">
        <v>2</v>
      </c>
      <c r="C6" s="4"/>
      <c r="D6" s="1"/>
      <c r="E6" s="1"/>
      <c r="F6" s="1"/>
      <c r="G6" s="1"/>
      <c r="H6" s="1"/>
      <c r="I6" s="1"/>
      <c r="J6" s="5"/>
      <c r="K6" s="5"/>
      <c r="L6" s="5"/>
    </row>
    <row r="7" spans="2:12" ht="24.75" customHeight="1">
      <c r="B7" s="2"/>
      <c r="C7" s="2"/>
      <c r="D7" s="2"/>
      <c r="E7" s="2"/>
      <c r="F7" s="2"/>
      <c r="G7" s="2"/>
      <c r="H7" s="2"/>
      <c r="I7" s="2"/>
      <c r="J7" s="58" t="s">
        <v>3</v>
      </c>
      <c r="K7" s="59"/>
      <c r="L7" s="60"/>
    </row>
    <row r="8" spans="2:12" ht="46.5" customHeight="1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7" t="s">
        <v>12</v>
      </c>
      <c r="K8" s="8" t="s">
        <v>13</v>
      </c>
      <c r="L8" s="9" t="s">
        <v>14</v>
      </c>
    </row>
    <row r="9" spans="2:12" ht="19.5" customHeight="1">
      <c r="B9" s="43" t="s">
        <v>15</v>
      </c>
      <c r="C9" s="44">
        <v>1</v>
      </c>
      <c r="D9" s="45">
        <f>'[1]Torres '!$H$8</f>
        <v>2204910</v>
      </c>
      <c r="E9" s="46">
        <f>'[1]Torres '!$H$9</f>
        <v>2294915</v>
      </c>
      <c r="F9" s="46">
        <f>'[1]Torres '!$G$10</f>
        <v>8820000</v>
      </c>
      <c r="G9" s="43"/>
      <c r="H9" s="43"/>
      <c r="I9" s="43"/>
      <c r="J9" s="10">
        <f>MIN('Preios admin'!$D9:$I9)</f>
        <v>2204910</v>
      </c>
      <c r="K9" s="11">
        <f>IFERROR(AVERAGE('Preios admin'!$D9:$I9),0)</f>
        <v>4439941.666666667</v>
      </c>
      <c r="L9" s="12">
        <f>MAX('Preios admin'!$D9:$I9)</f>
        <v>8820000</v>
      </c>
    </row>
    <row r="10" spans="2:12" ht="19.5" customHeight="1">
      <c r="B10" s="43" t="s">
        <v>16</v>
      </c>
      <c r="C10" s="44">
        <v>1</v>
      </c>
      <c r="D10" s="46">
        <f>[1]monitor!$H$8</f>
        <v>749900</v>
      </c>
      <c r="E10" s="46">
        <f>[1]monitor!$H$9</f>
        <v>749900</v>
      </c>
      <c r="F10" s="46">
        <f>[1]monitor!$H$10</f>
        <v>861900</v>
      </c>
      <c r="G10" s="43"/>
      <c r="H10" s="43"/>
      <c r="I10" s="43"/>
      <c r="J10" s="10">
        <f>MIN('Preios admin'!$D10:$I10)</f>
        <v>749900</v>
      </c>
      <c r="K10" s="11">
        <f>IFERROR(AVERAGE('Preios admin'!$D10:$I10),0)</f>
        <v>787233.33333333337</v>
      </c>
      <c r="L10" s="12">
        <f>MAX('Preios admin'!$D10:$I10)</f>
        <v>861900</v>
      </c>
    </row>
    <row r="11" spans="2:12" ht="19.5" customHeight="1">
      <c r="B11" s="43" t="s">
        <v>17</v>
      </c>
      <c r="C11" s="44">
        <v>1</v>
      </c>
      <c r="D11" s="47">
        <f>'[1]computador portatil'!$H$8</f>
        <v>3558870</v>
      </c>
      <c r="E11" s="47">
        <f>'[1]computador portatil'!$H$9</f>
        <v>3999900</v>
      </c>
      <c r="F11" s="47">
        <f>'[1]computador portatil'!$H$10</f>
        <v>3599000</v>
      </c>
      <c r="G11" s="43"/>
      <c r="H11" s="43"/>
      <c r="I11" s="43"/>
      <c r="J11" s="10">
        <f>MIN('Preios admin'!$D11:$I11)</f>
        <v>3558870</v>
      </c>
      <c r="K11" s="11">
        <f>IFERROR(AVERAGE('Preios admin'!$D11:$I11),0)</f>
        <v>3719256.6666666665</v>
      </c>
      <c r="L11" s="12">
        <f>MAX('Preios admin'!$D11:$I11)</f>
        <v>3999900</v>
      </c>
    </row>
    <row r="12" spans="2:12" ht="19.5" customHeight="1">
      <c r="B12" s="43" t="s">
        <v>18</v>
      </c>
      <c r="C12" s="44">
        <v>1</v>
      </c>
      <c r="D12" s="43">
        <f>'[1]+hosting'!$H$8</f>
        <v>300000</v>
      </c>
      <c r="E12" s="43">
        <f>'[1]+hosting'!$H$9</f>
        <v>469743.79</v>
      </c>
      <c r="F12" s="43">
        <f>'[1]+hosting'!$H$10</f>
        <v>371700</v>
      </c>
      <c r="G12" s="43"/>
      <c r="H12" s="43"/>
      <c r="I12" s="43"/>
      <c r="J12" s="10">
        <f>MIN('Preios admin'!$D12:$I12)</f>
        <v>300000</v>
      </c>
      <c r="K12" s="11">
        <f>IFERROR(AVERAGE('Preios admin'!$D12:$I12),0)</f>
        <v>380481.26333333337</v>
      </c>
      <c r="L12" s="12">
        <f>MAX('Preios admin'!$D12:$I12)</f>
        <v>469743.79</v>
      </c>
    </row>
    <row r="13" spans="2:12" ht="19.5" customHeight="1">
      <c r="B13" s="43" t="s">
        <v>19</v>
      </c>
      <c r="C13" s="44">
        <v>1</v>
      </c>
      <c r="D13" s="43">
        <f>[1]teclados!$H$8</f>
        <v>79900</v>
      </c>
      <c r="E13" s="43">
        <f>[1]teclados!$H$9</f>
        <v>28900</v>
      </c>
      <c r="F13" s="43">
        <f>[1]teclados!$H$10</f>
        <v>54900</v>
      </c>
      <c r="G13" s="43"/>
      <c r="H13" s="43"/>
      <c r="I13" s="43"/>
      <c r="J13" s="10">
        <f>MIN('Preios admin'!$D13:$I13)</f>
        <v>28900</v>
      </c>
      <c r="K13" s="11">
        <f>IFERROR(AVERAGE('Preios admin'!$D13:$I13),0)</f>
        <v>54566.666666666664</v>
      </c>
      <c r="L13" s="12">
        <f>MAX('Preios admin'!$D13:$I13)</f>
        <v>79900</v>
      </c>
    </row>
    <row r="14" spans="2:12" ht="19.5" customHeight="1">
      <c r="B14" s="43" t="s">
        <v>20</v>
      </c>
      <c r="C14" s="44">
        <v>1</v>
      </c>
      <c r="D14" s="43">
        <f>[1]Moueses!$H$8</f>
        <v>23100</v>
      </c>
      <c r="E14" s="43">
        <f>[1]Moueses!$H$9</f>
        <v>20000</v>
      </c>
      <c r="F14" s="43">
        <f>[1]Moueses!$H$10</f>
        <v>54900</v>
      </c>
      <c r="G14" s="43"/>
      <c r="H14" s="43"/>
      <c r="I14" s="43"/>
      <c r="J14" s="13">
        <f>MIN('Preios admin'!$D14:$I14)</f>
        <v>20000</v>
      </c>
      <c r="K14" s="14">
        <f>IFERROR(AVERAGE('Preios admin'!$D14:$I14),0)</f>
        <v>32666.666666666668</v>
      </c>
      <c r="L14" s="15">
        <f>MAX('Preios admin'!$D14:$I14)</f>
        <v>54900</v>
      </c>
    </row>
    <row r="15" spans="2:12" ht="19.5" customHeight="1">
      <c r="B15" s="17" t="s">
        <v>21</v>
      </c>
      <c r="C15" s="18">
        <v>1</v>
      </c>
      <c r="D15" s="17">
        <f>[1]Antivirus!$H$8</f>
        <v>159990</v>
      </c>
      <c r="E15" s="17">
        <f>[1]Antivirus!$H$9</f>
        <v>160000</v>
      </c>
      <c r="F15" s="17">
        <f>[1]Antivirus!$H$10</f>
        <v>432000</v>
      </c>
      <c r="G15" s="17"/>
      <c r="H15" s="17"/>
      <c r="I15" s="17"/>
      <c r="J15" s="13">
        <f>MIN('Preios admin'!$D15:$I15)</f>
        <v>159990</v>
      </c>
      <c r="K15" s="11">
        <f>IFERROR(AVERAGE('Preios admin'!$D15:$I15),0)</f>
        <v>250663.33333333334</v>
      </c>
      <c r="L15" s="12">
        <f>MAX('Preios admin'!$D15:$I15)</f>
        <v>432000</v>
      </c>
    </row>
    <row r="16" spans="2:12" ht="19.5" customHeight="1">
      <c r="B16" s="17" t="s">
        <v>22</v>
      </c>
      <c r="C16" s="18">
        <v>1</v>
      </c>
      <c r="D16" s="17">
        <f>[1]mockup!$H$8</f>
        <v>191668.4</v>
      </c>
      <c r="E16" s="17">
        <f>[1]mockup!$H$9</f>
        <v>15607.284</v>
      </c>
      <c r="F16" s="17">
        <f>[1]mockup!$H$10</f>
        <v>64541.4</v>
      </c>
      <c r="G16" s="17"/>
      <c r="H16" s="17"/>
      <c r="I16" s="17"/>
      <c r="J16" s="13">
        <f>MIN('Preios admin'!$D16:$I16)</f>
        <v>15607.284</v>
      </c>
      <c r="K16" s="11">
        <f>IFERROR(AVERAGE('Preios admin'!$D16:$I16),0)</f>
        <v>90605.694666666677</v>
      </c>
      <c r="L16" s="12">
        <f>MAX('Preios admin'!$D16:$I16)</f>
        <v>191668.4</v>
      </c>
    </row>
    <row r="17" spans="2:13" ht="19.5" customHeight="1">
      <c r="B17" s="17" t="s">
        <v>23</v>
      </c>
      <c r="C17" s="18">
        <v>1</v>
      </c>
      <c r="D17" s="46">
        <f>[1]internet!$H$8</f>
        <v>76792</v>
      </c>
      <c r="E17" s="46">
        <f>[1]internet!$H$9</f>
        <v>52950</v>
      </c>
      <c r="F17" s="46">
        <f>[1]internet!$H$10</f>
        <v>442600</v>
      </c>
      <c r="G17" s="17"/>
      <c r="H17" s="17"/>
      <c r="I17" s="17"/>
      <c r="J17" s="13">
        <f>MIN('Preios admin'!$D17:$I17)</f>
        <v>52950</v>
      </c>
      <c r="K17" s="14">
        <f>IFERROR(AVERAGE('Preios admin'!$D17:$I17),0)</f>
        <v>190780.66666666666</v>
      </c>
      <c r="L17" s="15">
        <f>MAX('Preios admin'!$D17:$I17)</f>
        <v>442600</v>
      </c>
    </row>
    <row r="18" spans="2:13" ht="19.5" customHeight="1">
      <c r="B18" s="19" t="s">
        <v>24</v>
      </c>
      <c r="C18" s="20">
        <v>1</v>
      </c>
      <c r="D18" s="21">
        <f>'[1]editores de codigo'!$H$8</f>
        <v>388401.75</v>
      </c>
      <c r="E18" s="21">
        <f>'[1]editores de codigo'!$H$9</f>
        <v>231471.75</v>
      </c>
      <c r="F18" s="21">
        <f>'[1]editores de codigo'!$H$10</f>
        <v>176546.25</v>
      </c>
      <c r="G18" s="21"/>
      <c r="H18" s="19"/>
      <c r="I18" s="22"/>
      <c r="J18" s="13">
        <f>MIN('Preios admin'!$D18:$I18)</f>
        <v>176546.25</v>
      </c>
      <c r="K18" s="11">
        <f>IFERROR(AVERAGE('Preios admin'!$D18:$I18),0)</f>
        <v>265473.25</v>
      </c>
      <c r="L18" s="12">
        <f>MAX('Preios admin'!$D18:$I18)</f>
        <v>388401.75</v>
      </c>
    </row>
    <row r="19" spans="2:13" ht="19.5" customHeight="1">
      <c r="B19" s="19" t="s">
        <v>25</v>
      </c>
      <c r="C19" s="20">
        <v>1</v>
      </c>
      <c r="D19" s="21">
        <f>'[1]bases de datos'!$H$8</f>
        <v>222961.19999999998</v>
      </c>
      <c r="E19" s="21">
        <f>'[1]bases de datos'!$H$9</f>
        <v>1961875</v>
      </c>
      <c r="F19" s="21">
        <f>'[1]bases de datos'!$H$10</f>
        <v>273.89999999999998</v>
      </c>
      <c r="G19" s="21"/>
      <c r="H19" s="19"/>
      <c r="I19" s="22"/>
      <c r="J19" s="13">
        <f>MIN('Preios admin'!$D19:$I19)</f>
        <v>273.89999999999998</v>
      </c>
      <c r="K19" s="11">
        <f>IFERROR(AVERAGE('Preios admin'!$D19:$I19),0)</f>
        <v>728370.03333333333</v>
      </c>
      <c r="L19" s="12">
        <f>MAX('Preios admin'!$D19:$I19)</f>
        <v>1961875</v>
      </c>
    </row>
    <row r="20" spans="2:13" ht="19.5" customHeight="1">
      <c r="B20" s="19" t="s">
        <v>26</v>
      </c>
      <c r="C20" s="20">
        <v>1</v>
      </c>
      <c r="D20" s="21">
        <f>[1]dominio!$H$8</f>
        <v>16900</v>
      </c>
      <c r="E20" s="21">
        <f>[1]dominio!$H$9</f>
        <v>52500</v>
      </c>
      <c r="F20" s="21">
        <f>[1]dominio!$H$10</f>
        <v>51250.999999994805</v>
      </c>
      <c r="G20" s="21"/>
      <c r="H20" s="19"/>
      <c r="I20" s="22"/>
      <c r="J20" s="13">
        <f>MIN('Preios admin'!$D20:$I20)</f>
        <v>16900</v>
      </c>
      <c r="K20" s="11">
        <f>IFERROR(AVERAGE('Preios admin'!$D20:$I20),0)</f>
        <v>40216.999999998268</v>
      </c>
      <c r="L20" s="12">
        <f>MAX('Preios admin'!$D20:$I20)</f>
        <v>52500</v>
      </c>
    </row>
    <row r="21" spans="2:13" ht="19.5" customHeight="1">
      <c r="B21" s="19" t="s">
        <v>27</v>
      </c>
      <c r="C21" s="20">
        <v>1</v>
      </c>
      <c r="D21" s="21">
        <f>'[1]suscripciones o servicios'!$H$8</f>
        <v>349999</v>
      </c>
      <c r="E21" s="21">
        <f>'[1]suscripciones o servicios'!$H$9</f>
        <v>219000</v>
      </c>
      <c r="F21" s="21">
        <f>'[1]suscripciones o servicios'!$H$10</f>
        <v>289900</v>
      </c>
      <c r="G21" s="21"/>
      <c r="H21" s="19"/>
      <c r="I21" s="22"/>
      <c r="J21" s="13">
        <f>MIN('Preios admin'!$D21:$I21)</f>
        <v>219000</v>
      </c>
      <c r="K21" s="11">
        <f>IFERROR(AVERAGE('Preios admin'!$D21:$I21),0)</f>
        <v>286299.66666666669</v>
      </c>
      <c r="L21" s="12">
        <f>MAX('Preios admin'!$D21:$I21)</f>
        <v>349999</v>
      </c>
    </row>
    <row r="22" spans="2:13" ht="19.5" customHeight="1">
      <c r="B22" s="19"/>
      <c r="C22" s="20"/>
      <c r="D22" s="21"/>
      <c r="E22" s="21"/>
      <c r="F22" s="21"/>
      <c r="G22" s="21"/>
      <c r="H22" s="19"/>
      <c r="I22" s="22"/>
      <c r="J22" s="13">
        <f>MIN('Preios admin'!$D22:$I22)</f>
        <v>0</v>
      </c>
      <c r="K22" s="11">
        <f>IFERROR(AVERAGE('Preios admin'!$D22:$I22),0)</f>
        <v>0</v>
      </c>
      <c r="L22" s="12">
        <f>MAX('Preios admin'!$D22:$I22)</f>
        <v>0</v>
      </c>
    </row>
    <row r="23" spans="2:13" ht="19.5" customHeight="1">
      <c r="B23" s="19"/>
      <c r="C23" s="20"/>
      <c r="D23" s="21"/>
      <c r="E23" s="21"/>
      <c r="F23" s="21"/>
      <c r="G23" s="21"/>
      <c r="H23" s="19"/>
      <c r="I23" s="22"/>
      <c r="J23" s="13">
        <f>MIN('Preios admin'!$D23:$I23)</f>
        <v>0</v>
      </c>
      <c r="K23" s="11">
        <f>IFERROR(AVERAGE('Preios admin'!$D23:$I23),0)</f>
        <v>0</v>
      </c>
      <c r="L23" s="12">
        <f>MAX('Preios admin'!$D23:$I23)</f>
        <v>0</v>
      </c>
    </row>
    <row r="24" spans="2:13" ht="24" customHeight="1">
      <c r="B24" s="19"/>
      <c r="C24" s="20"/>
      <c r="D24" s="21"/>
      <c r="E24" s="21"/>
      <c r="F24" s="21"/>
      <c r="G24" s="21"/>
      <c r="H24" s="19"/>
      <c r="I24" s="22"/>
      <c r="J24" s="13">
        <f>MIN('Preios admin'!$D24:$I24)</f>
        <v>0</v>
      </c>
      <c r="K24" s="11">
        <f>IFERROR(AVERAGE('Preios admin'!$D24:$I24),0)</f>
        <v>0</v>
      </c>
      <c r="L24" s="12">
        <f>MAX('Preios admin'!$D24:$I24)</f>
        <v>0</v>
      </c>
    </row>
    <row r="25" spans="2:13" ht="19.5" customHeight="1">
      <c r="B25" s="23" t="s">
        <v>28</v>
      </c>
      <c r="C25" s="23"/>
      <c r="D25" s="24">
        <f>ROUND(SUMPRODUCT(C9:C24,D9:D24),2)</f>
        <v>8323392.3499999996</v>
      </c>
      <c r="E25" s="24">
        <f>ROUND(SUMPRODUCT(C9:C24,E9:E24),2)</f>
        <v>10256762.82</v>
      </c>
      <c r="F25" s="24">
        <f>ROUND(SUMPRODUCT(C9:C24,F9:F24),2)</f>
        <v>15219512.550000001</v>
      </c>
      <c r="G25" s="24">
        <f>ROUND(SUMPRODUCT(C9:C24,G9:G24),2)</f>
        <v>0</v>
      </c>
      <c r="H25" s="24">
        <f>ROUND(SUMPRODUCT(C9:C24,H9:H24),2)</f>
        <v>0</v>
      </c>
      <c r="I25" s="24">
        <f>ROUND(SUMPRODUCT(C9:C24,I9:I24),2)</f>
        <v>0</v>
      </c>
      <c r="J25" s="25"/>
      <c r="K25" s="25"/>
      <c r="L25" s="26"/>
    </row>
    <row r="26" spans="2:13" ht="12.75" customHeight="1"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</row>
    <row r="27" spans="2:13" ht="13.5" customHeight="1"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</row>
    <row r="28" spans="2:13" ht="48" customHeight="1">
      <c r="B28" s="61" t="s">
        <v>29</v>
      </c>
      <c r="C28" s="62"/>
      <c r="D28" s="27"/>
      <c r="E28" s="27"/>
      <c r="F28" s="27"/>
      <c r="G28" s="27"/>
      <c r="H28" s="27"/>
      <c r="I28" s="53"/>
      <c r="J28" s="53"/>
      <c r="K28" s="53"/>
      <c r="L28" s="53"/>
    </row>
    <row r="29" spans="2:13" ht="33" customHeight="1">
      <c r="B29" s="63" t="s">
        <v>30</v>
      </c>
      <c r="C29" s="64"/>
      <c r="D29" s="50">
        <v>12</v>
      </c>
      <c r="E29" s="50">
        <v>1</v>
      </c>
      <c r="F29" s="50">
        <v>0</v>
      </c>
      <c r="G29" s="50"/>
      <c r="H29" s="50"/>
      <c r="I29" s="55"/>
      <c r="J29" s="54"/>
      <c r="K29" s="54"/>
      <c r="L29" s="54"/>
      <c r="M29" s="48"/>
    </row>
    <row r="30" spans="2:13" ht="25.5" customHeight="1">
      <c r="B30" s="63" t="s">
        <v>31</v>
      </c>
      <c r="C30" s="64"/>
      <c r="D30" s="51">
        <v>12727</v>
      </c>
      <c r="E30" s="51">
        <v>10000</v>
      </c>
      <c r="F30" s="51">
        <v>9000</v>
      </c>
      <c r="G30" s="50"/>
      <c r="H30" s="51"/>
      <c r="I30" s="56"/>
      <c r="J30" s="54"/>
      <c r="K30" s="54"/>
      <c r="L30" s="54"/>
      <c r="M30" s="48"/>
    </row>
    <row r="31" spans="2:13" ht="18" customHeight="1">
      <c r="B31" s="65" t="s">
        <v>32</v>
      </c>
      <c r="C31" s="66"/>
      <c r="D31" s="51" t="s">
        <v>33</v>
      </c>
      <c r="E31" s="51" t="s">
        <v>34</v>
      </c>
      <c r="F31" s="51" t="s">
        <v>35</v>
      </c>
      <c r="G31" s="51" t="s">
        <v>36</v>
      </c>
      <c r="H31" s="51"/>
      <c r="I31" s="56"/>
      <c r="J31" s="54"/>
      <c r="K31" s="54"/>
      <c r="L31" s="54"/>
      <c r="M31" s="48"/>
    </row>
    <row r="32" spans="2:13" ht="18.75" customHeight="1">
      <c r="B32" s="67"/>
      <c r="C32" s="71"/>
      <c r="D32" s="50" t="s">
        <v>37</v>
      </c>
      <c r="E32" s="50" t="s">
        <v>38</v>
      </c>
      <c r="F32" s="50" t="s">
        <v>39</v>
      </c>
      <c r="G32" s="50" t="s">
        <v>40</v>
      </c>
      <c r="H32" s="50"/>
      <c r="I32" s="55"/>
      <c r="J32" s="54"/>
      <c r="K32" s="54"/>
      <c r="L32" s="54"/>
      <c r="M32" s="48"/>
    </row>
    <row r="33" spans="2:13" ht="18.75" customHeight="1">
      <c r="B33" s="67"/>
      <c r="C33" s="71"/>
      <c r="D33" s="52"/>
      <c r="E33" s="52"/>
      <c r="F33" s="52"/>
      <c r="G33" s="52"/>
      <c r="H33" s="50"/>
      <c r="I33" s="55"/>
      <c r="J33" s="49"/>
      <c r="K33" s="49"/>
      <c r="L33" s="49"/>
      <c r="M33" s="48"/>
    </row>
    <row r="34" spans="2:13" ht="18.75" customHeight="1">
      <c r="B34" s="69"/>
      <c r="C34" s="70"/>
      <c r="D34" s="50"/>
      <c r="E34" s="50"/>
      <c r="F34" s="49"/>
      <c r="G34" s="49"/>
      <c r="H34" s="49"/>
      <c r="I34" s="57"/>
      <c r="J34" s="49"/>
      <c r="K34" s="49"/>
      <c r="L34" s="49"/>
      <c r="M34" s="48"/>
    </row>
    <row r="35" spans="2:13" ht="15" customHeight="1">
      <c r="D35" s="48"/>
      <c r="E35" s="48"/>
      <c r="F35" s="48"/>
      <c r="G35" s="48"/>
      <c r="H35" s="48"/>
      <c r="I35" s="48"/>
      <c r="J35" s="48"/>
      <c r="K35" s="48"/>
      <c r="L35" s="48"/>
    </row>
  </sheetData>
  <mergeCells count="5">
    <mergeCell ref="J7:L7"/>
    <mergeCell ref="B28:C28"/>
    <mergeCell ref="B29:C29"/>
    <mergeCell ref="B30:C30"/>
    <mergeCell ref="B31:C34"/>
  </mergeCells>
  <conditionalFormatting sqref="B8:I8">
    <cfRule type="expression" dxfId="3" priority="1">
      <formula>AND(B$25=MIN($D$25:$I$25),B$25&lt;&gt;0)</formula>
    </cfRule>
  </conditionalFormatting>
  <conditionalFormatting sqref="D9:I9 F10:I10 D11:I24">
    <cfRule type="expression" dxfId="2" priority="3">
      <formula>AND(D$25=MIN($D$25:$I$25),D$25&lt;&gt;0)</formula>
    </cfRule>
  </conditionalFormatting>
  <conditionalFormatting sqref="D25:I25">
    <cfRule type="expression" dxfId="1" priority="2">
      <formula>AND(D$25=MIN($D$25:$I$25),D$25&lt;&gt;0)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I41"/>
  <sheetViews>
    <sheetView workbookViewId="0"/>
  </sheetViews>
  <sheetFormatPr baseColWidth="10" defaultColWidth="16.83203125" defaultRowHeight="15" customHeight="1"/>
  <cols>
    <col min="1" max="1" width="10" customWidth="1"/>
    <col min="2" max="2" width="19.83203125" customWidth="1"/>
    <col min="3" max="3" width="10" customWidth="1"/>
    <col min="4" max="9" width="18.5" customWidth="1"/>
    <col min="10" max="26" width="10" customWidth="1"/>
  </cols>
  <sheetData>
    <row r="7" spans="2:9" ht="19.5" customHeight="1">
      <c r="B7" s="17" t="s">
        <v>41</v>
      </c>
      <c r="C7" s="18">
        <v>1</v>
      </c>
      <c r="D7" s="17">
        <v>498</v>
      </c>
      <c r="E7" s="17">
        <v>420</v>
      </c>
      <c r="F7" s="17">
        <v>450</v>
      </c>
      <c r="G7" s="17">
        <v>230</v>
      </c>
      <c r="H7" s="17">
        <v>600</v>
      </c>
      <c r="I7" s="17">
        <v>520</v>
      </c>
    </row>
    <row r="8" spans="2:9" ht="19.5" customHeight="1">
      <c r="B8" s="17" t="s">
        <v>42</v>
      </c>
      <c r="C8" s="18">
        <v>2</v>
      </c>
      <c r="D8" s="17">
        <v>450</v>
      </c>
      <c r="E8" s="17">
        <v>220</v>
      </c>
      <c r="F8" s="17">
        <v>405</v>
      </c>
      <c r="G8" s="17">
        <v>495</v>
      </c>
      <c r="H8" s="17">
        <v>540</v>
      </c>
      <c r="I8" s="17">
        <v>200</v>
      </c>
    </row>
    <row r="9" spans="2:9" ht="19.5" customHeight="1">
      <c r="B9" s="17" t="s">
        <v>43</v>
      </c>
      <c r="C9" s="18">
        <v>2</v>
      </c>
      <c r="D9" s="17">
        <v>650</v>
      </c>
      <c r="E9" s="17">
        <v>620</v>
      </c>
      <c r="F9" s="17">
        <v>666</v>
      </c>
      <c r="G9" s="17">
        <v>400</v>
      </c>
      <c r="H9" s="17">
        <v>648</v>
      </c>
      <c r="I9" s="17">
        <v>452.4</v>
      </c>
    </row>
    <row r="10" spans="2:9" ht="19.5" customHeight="1">
      <c r="B10" s="17" t="s">
        <v>44</v>
      </c>
      <c r="C10" s="18">
        <v>1</v>
      </c>
      <c r="D10" s="17">
        <v>585</v>
      </c>
      <c r="E10" s="17">
        <v>558</v>
      </c>
      <c r="F10" s="17">
        <v>320</v>
      </c>
      <c r="G10" s="17">
        <v>360</v>
      </c>
      <c r="H10" s="17">
        <v>583.20000000000005</v>
      </c>
      <c r="I10" s="17">
        <v>407.16</v>
      </c>
    </row>
    <row r="11" spans="2:9" ht="19.5" customHeight="1">
      <c r="B11" s="17" t="s">
        <v>45</v>
      </c>
      <c r="C11" s="18">
        <v>3</v>
      </c>
      <c r="D11" s="17">
        <v>526.5</v>
      </c>
      <c r="E11" s="17">
        <v>502.2</v>
      </c>
      <c r="F11" s="17">
        <v>539.46</v>
      </c>
      <c r="G11" s="17">
        <v>300</v>
      </c>
      <c r="H11" s="17">
        <v>500</v>
      </c>
      <c r="I11" s="17">
        <v>366.44</v>
      </c>
    </row>
    <row r="12" spans="2:9" ht="19.5" customHeight="1">
      <c r="B12" s="17" t="s">
        <v>46</v>
      </c>
      <c r="C12" s="18">
        <v>1</v>
      </c>
      <c r="D12" s="17">
        <v>473.8</v>
      </c>
      <c r="E12" s="17">
        <v>200</v>
      </c>
      <c r="F12" s="17">
        <v>485.51</v>
      </c>
      <c r="G12" s="17">
        <v>291.60000000000002</v>
      </c>
      <c r="H12" s="17">
        <v>270</v>
      </c>
      <c r="I12" s="17">
        <v>220</v>
      </c>
    </row>
    <row r="19" spans="2:9" ht="18.75" customHeight="1">
      <c r="D19" s="28">
        <v>30</v>
      </c>
      <c r="E19" s="29">
        <v>10</v>
      </c>
      <c r="F19" s="29">
        <v>15</v>
      </c>
      <c r="G19" s="29">
        <v>15</v>
      </c>
      <c r="H19" s="29">
        <v>15</v>
      </c>
      <c r="I19" s="29">
        <v>10</v>
      </c>
    </row>
    <row r="20" spans="2:9" ht="18.75" customHeight="1">
      <c r="D20" s="30">
        <v>10</v>
      </c>
      <c r="E20" s="31">
        <v>10</v>
      </c>
      <c r="F20" s="31">
        <v>10</v>
      </c>
      <c r="G20" s="29" t="s">
        <v>47</v>
      </c>
      <c r="H20" s="31">
        <v>5</v>
      </c>
      <c r="I20" s="31" t="s">
        <v>47</v>
      </c>
    </row>
    <row r="21" spans="2:9" ht="18.75" customHeight="1">
      <c r="D21" s="32" t="s">
        <v>48</v>
      </c>
      <c r="E21" s="33" t="s">
        <v>48</v>
      </c>
      <c r="F21" s="33" t="s">
        <v>49</v>
      </c>
      <c r="G21" s="33" t="s">
        <v>50</v>
      </c>
      <c r="H21" s="33" t="s">
        <v>49</v>
      </c>
      <c r="I21" s="33" t="s">
        <v>49</v>
      </c>
    </row>
    <row r="22" spans="2:9" ht="18.75" customHeight="1">
      <c r="D22" s="34" t="s">
        <v>51</v>
      </c>
      <c r="E22" s="35" t="s">
        <v>51</v>
      </c>
      <c r="F22" s="35" t="s">
        <v>52</v>
      </c>
      <c r="G22" s="35" t="s">
        <v>49</v>
      </c>
      <c r="H22" s="35" t="s">
        <v>52</v>
      </c>
      <c r="I22" s="35" t="s">
        <v>52</v>
      </c>
    </row>
    <row r="23" spans="2:9" ht="18.75" customHeight="1">
      <c r="D23" s="36"/>
      <c r="E23" s="37"/>
      <c r="F23" s="37"/>
      <c r="G23" s="37"/>
      <c r="H23" s="37"/>
      <c r="I23" s="37"/>
    </row>
    <row r="24" spans="2:9" ht="18.75" customHeight="1">
      <c r="D24" s="38"/>
      <c r="E24" s="39"/>
      <c r="F24" s="39"/>
      <c r="G24" s="39"/>
      <c r="H24" s="39"/>
      <c r="I24" s="39"/>
    </row>
    <row r="25" spans="2:9" ht="11.25" customHeight="1"/>
    <row r="26" spans="2:9" ht="11.25" customHeight="1"/>
    <row r="27" spans="2:9" ht="12" customHeight="1"/>
    <row r="28" spans="2:9" ht="19.5" customHeight="1">
      <c r="B28" s="17" t="s">
        <v>53</v>
      </c>
      <c r="C28" s="18">
        <v>1</v>
      </c>
      <c r="D28" s="17">
        <v>340</v>
      </c>
      <c r="E28" s="17">
        <v>330</v>
      </c>
      <c r="F28" s="17">
        <v>440</v>
      </c>
      <c r="G28" s="17">
        <v>400</v>
      </c>
      <c r="H28" s="17">
        <v>320</v>
      </c>
      <c r="I28" s="17">
        <v>330</v>
      </c>
    </row>
    <row r="29" spans="2:9" ht="19.5" customHeight="1">
      <c r="B29" s="17" t="s">
        <v>54</v>
      </c>
      <c r="C29" s="18">
        <v>1</v>
      </c>
      <c r="D29" s="17">
        <v>220</v>
      </c>
      <c r="E29" s="17">
        <v>230</v>
      </c>
      <c r="F29" s="17">
        <v>240</v>
      </c>
      <c r="G29" s="17">
        <v>220</v>
      </c>
      <c r="H29" s="17">
        <v>219</v>
      </c>
      <c r="I29" s="17">
        <v>218</v>
      </c>
    </row>
    <row r="30" spans="2:9" ht="19.5" customHeight="1">
      <c r="B30" s="17" t="s">
        <v>55</v>
      </c>
      <c r="C30" s="18">
        <v>2</v>
      </c>
      <c r="D30" s="17">
        <v>560</v>
      </c>
      <c r="E30" s="17">
        <v>580</v>
      </c>
      <c r="F30" s="17">
        <v>550</v>
      </c>
      <c r="G30" s="17">
        <v>520</v>
      </c>
      <c r="H30" s="17">
        <v>551</v>
      </c>
      <c r="I30" s="17">
        <v>550</v>
      </c>
    </row>
    <row r="35" spans="2:2" ht="14.25" customHeight="1">
      <c r="B35" s="40" t="s">
        <v>56</v>
      </c>
    </row>
    <row r="36" spans="2:2" ht="18.75" customHeight="1">
      <c r="B36" s="41">
        <v>250</v>
      </c>
    </row>
    <row r="37" spans="2:2" ht="18.75" customHeight="1">
      <c r="B37" s="42">
        <v>440</v>
      </c>
    </row>
    <row r="38" spans="2:2" ht="18.75" customHeight="1">
      <c r="B38" s="42">
        <v>440</v>
      </c>
    </row>
    <row r="39" spans="2:2" ht="18.75" customHeight="1">
      <c r="B39" s="42">
        <v>350</v>
      </c>
    </row>
    <row r="40" spans="2:2" ht="18.75" customHeight="1">
      <c r="B40" s="42">
        <v>420</v>
      </c>
    </row>
    <row r="41" spans="2:2" ht="18.75" customHeight="1">
      <c r="B41" s="42">
        <v>199</v>
      </c>
    </row>
  </sheetData>
  <conditionalFormatting sqref="D7:I12 D28:I30">
    <cfRule type="expression" dxfId="0" priority="1">
      <formula>AND(D$15=MIN($D$15:$I$15),D$15&lt;&gt;0)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- AYUDA -</vt:lpstr>
      <vt:lpstr>Precios nosotros</vt:lpstr>
      <vt:lpstr>Preios admin</vt:lpstr>
      <vt:lpstr>Soporte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Planilla excel</dc:creator>
  <cp:keywords/>
  <dc:description/>
  <cp:lastModifiedBy>Alejandro Pirazan</cp:lastModifiedBy>
  <cp:revision/>
  <dcterms:created xsi:type="dcterms:W3CDTF">2013-10-17T12:18:53Z</dcterms:created>
  <dcterms:modified xsi:type="dcterms:W3CDTF">2025-05-11T16:40:10Z</dcterms:modified>
  <cp:category/>
  <cp:contentStatus/>
</cp:coreProperties>
</file>