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xampp\htdocs\SETS-PROYECTO\Documentacion-SETS\Segundo trimestre\costos software\"/>
    </mc:Choice>
  </mc:AlternateContent>
  <xr:revisionPtr revIDLastSave="0" documentId="13_ncr:1_{7BEF4BE0-4B68-4950-B55C-9ADFD1AA71E3}" xr6:coauthVersionLast="47" xr6:coauthVersionMax="47" xr10:uidLastSave="{00000000-0000-0000-0000-000000000000}"/>
  <bookViews>
    <workbookView xWindow="-120" yWindow="-120" windowWidth="29040" windowHeight="15720" firstSheet="10" activeTab="10" xr2:uid="{00000000-000D-0000-FFFF-FFFF00000000}"/>
  </bookViews>
  <sheets>
    <sheet name="Torres " sheetId="1" r:id="rId1"/>
    <sheet name="monitor" sheetId="2" r:id="rId2"/>
    <sheet name="computador portatil" sheetId="3" state="hidden" r:id="rId3"/>
    <sheet name="+hosting" sheetId="4" r:id="rId4"/>
    <sheet name="dominio" sheetId="5" r:id="rId5"/>
    <sheet name="suscripciones o servicios" sheetId="6" r:id="rId6"/>
    <sheet name="teclados" sheetId="7" r:id="rId7"/>
    <sheet name="Moueses" sheetId="8" r:id="rId8"/>
    <sheet name="internet" sheetId="9" r:id="rId9"/>
    <sheet name="bases de datos" sheetId="10" r:id="rId10"/>
    <sheet name="editores de codigo" sheetId="11" r:id="rId11"/>
    <sheet name="mockup" sheetId="12" r:id="rId12"/>
    <sheet name="Hoja1" sheetId="13" state="hidden" r:id="rId13"/>
    <sheet name="Antivirus" sheetId="14" r:id="rId14"/>
    <sheet name="Nominas" sheetId="15" r:id="rId15"/>
    <sheet name="monitor (2)" sheetId="16" r:id="rId16"/>
    <sheet name="+hosting (2)" sheetId="17" r:id="rId17"/>
    <sheet name="dominio (2)" sheetId="18" r:id="rId18"/>
    <sheet name="suscripciones o servicios (2)" sheetId="19" r:id="rId19"/>
    <sheet name="teclados (2)" sheetId="20" r:id="rId20"/>
    <sheet name="Moueses (2)" sheetId="21" r:id="rId21"/>
    <sheet name="internet (2)" sheetId="22" r:id="rId22"/>
    <sheet name="bases de datos (2)" sheetId="23" r:id="rId23"/>
    <sheet name="editores de codigo (2)" sheetId="24" r:id="rId24"/>
    <sheet name="mockup (2)" sheetId="25" r:id="rId25"/>
    <sheet name="Antivirus (2)" sheetId="26"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TicfyjetdbIY1vimQJJp/GbjICXhbbq3ZYnOA7Gb6wA="/>
    </ext>
  </extLst>
</workbook>
</file>

<file path=xl/calcChain.xml><?xml version="1.0" encoding="utf-8"?>
<calcChain xmlns="http://schemas.openxmlformats.org/spreadsheetml/2006/main">
  <c r="G10" i="15" l="1"/>
  <c r="G10" i="26"/>
  <c r="H10" i="26" s="1"/>
  <c r="H9" i="26"/>
  <c r="G9" i="26"/>
  <c r="H8" i="26"/>
  <c r="G8" i="26"/>
  <c r="H10" i="25"/>
  <c r="E10" i="25"/>
  <c r="H9" i="25"/>
  <c r="E9" i="25"/>
  <c r="H8" i="25"/>
  <c r="E8" i="25"/>
  <c r="H10" i="24"/>
  <c r="H9" i="24"/>
  <c r="H8" i="24"/>
  <c r="G10" i="23"/>
  <c r="H10" i="23" s="1"/>
  <c r="H9" i="23"/>
  <c r="E9" i="23" s="1"/>
  <c r="H8" i="23"/>
  <c r="E8" i="23" s="1"/>
  <c r="G10" i="22"/>
  <c r="H10" i="22" s="1"/>
  <c r="G9" i="22"/>
  <c r="H9" i="22" s="1"/>
  <c r="G8" i="22"/>
  <c r="H8" i="22" s="1"/>
  <c r="H10" i="21"/>
  <c r="G10" i="21"/>
  <c r="G9" i="21"/>
  <c r="H9" i="21" s="1"/>
  <c r="G8" i="21"/>
  <c r="H8" i="21" s="1"/>
  <c r="H10" i="20"/>
  <c r="G10" i="20"/>
  <c r="H9" i="20"/>
  <c r="G9" i="20"/>
  <c r="H8" i="20"/>
  <c r="G8" i="20"/>
  <c r="H10" i="19"/>
  <c r="G10" i="19"/>
  <c r="G9" i="19"/>
  <c r="H9" i="19" s="1"/>
  <c r="G8" i="19"/>
  <c r="H8" i="19" s="1"/>
  <c r="H10" i="18"/>
  <c r="G9" i="18"/>
  <c r="H9" i="18" s="1"/>
  <c r="G8" i="18"/>
  <c r="H8" i="18" s="1"/>
  <c r="G10" i="17"/>
  <c r="H10" i="17" s="1"/>
  <c r="H9" i="17"/>
  <c r="G8" i="17"/>
  <c r="H8" i="17" s="1"/>
  <c r="G10" i="16"/>
  <c r="H10" i="16" s="1"/>
  <c r="H9" i="16"/>
  <c r="G9" i="16"/>
  <c r="H8" i="16"/>
  <c r="G8" i="16"/>
  <c r="H10" i="15"/>
  <c r="G9" i="15"/>
  <c r="H9" i="15" s="1"/>
  <c r="G8" i="15"/>
  <c r="H8" i="15" s="1"/>
  <c r="H10" i="14"/>
  <c r="G10" i="14"/>
  <c r="G9" i="14"/>
  <c r="H9" i="14" s="1"/>
  <c r="H8" i="14"/>
  <c r="G8" i="14"/>
  <c r="H10" i="12"/>
  <c r="E10" i="12"/>
  <c r="H9" i="12"/>
  <c r="E9" i="12"/>
  <c r="H8" i="12"/>
  <c r="E8" i="12"/>
  <c r="H10" i="11"/>
  <c r="H9" i="11"/>
  <c r="H8" i="11"/>
  <c r="H10" i="10"/>
  <c r="G10" i="10"/>
  <c r="H9" i="10"/>
  <c r="E9" i="10" s="1"/>
  <c r="H8" i="10"/>
  <c r="E8" i="10" s="1"/>
  <c r="H10" i="9"/>
  <c r="G10" i="9"/>
  <c r="G9" i="9"/>
  <c r="H9" i="9" s="1"/>
  <c r="G8" i="9"/>
  <c r="H8" i="9" s="1"/>
  <c r="H10" i="8"/>
  <c r="G10" i="8"/>
  <c r="H9" i="8"/>
  <c r="G9" i="8"/>
  <c r="G8" i="8"/>
  <c r="H8" i="8" s="1"/>
  <c r="H10" i="7"/>
  <c r="G10" i="7"/>
  <c r="G9" i="7"/>
  <c r="H9" i="7" s="1"/>
  <c r="G8" i="7"/>
  <c r="H8" i="7" s="1"/>
  <c r="H10" i="6"/>
  <c r="G10" i="6"/>
  <c r="H9" i="6"/>
  <c r="G9" i="6"/>
  <c r="G8" i="6"/>
  <c r="H8" i="6" s="1"/>
  <c r="H10" i="5"/>
  <c r="G9" i="5"/>
  <c r="H9" i="5" s="1"/>
  <c r="H8" i="5"/>
  <c r="G8" i="5"/>
  <c r="H10" i="4"/>
  <c r="G10" i="4"/>
  <c r="H9" i="4"/>
  <c r="H8" i="4"/>
  <c r="G8" i="4"/>
  <c r="G10" i="3"/>
  <c r="H10" i="3" s="1"/>
  <c r="G9" i="3"/>
  <c r="E9" i="3"/>
  <c r="E8" i="3"/>
  <c r="G8" i="3" s="1"/>
  <c r="G10" i="2"/>
  <c r="H10" i="2" s="1"/>
  <c r="H9" i="2"/>
  <c r="G9" i="2"/>
  <c r="H8" i="2"/>
  <c r="G8" i="2"/>
  <c r="G10" i="1"/>
  <c r="H10" i="1" s="1"/>
  <c r="G9" i="1"/>
  <c r="H9" i="1" s="1"/>
  <c r="G8" i="1"/>
  <c r="H8" i="1" s="1"/>
</calcChain>
</file>

<file path=xl/sharedStrings.xml><?xml version="1.0" encoding="utf-8"?>
<sst xmlns="http://schemas.openxmlformats.org/spreadsheetml/2006/main" count="817" uniqueCount="454">
  <si>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</si>
  <si>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</si>
  <si>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</si>
  <si>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</si>
  <si>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</si>
  <si>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</si>
  <si>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</si>
  <si>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</si>
  <si>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</si>
  <si>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</si>
  <si>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</si>
  <si>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</si>
  <si>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</si>
  <si>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Mercado libre</t>
  </si>
  <si>
    <r>
      <rPr>
        <sz val="10"/>
        <rFont val="Trebuchet MS"/>
      </rPr>
      <t xml:space="preserve"> Carrera 17 Numero 93 - 09 Piso 3, Bogotá D.C., Colombia </t>
    </r>
    <r>
      <rPr>
        <u/>
        <sz val="10"/>
        <color rgb="FF1155CC"/>
        <rFont val="Trebuchet MS"/>
      </rPr>
      <t>https://articulo.mercadolibre.com.co/MCO-999418729-torre-cpu-gamer-ryzen-7-5700g-vega-8-1tb-32gb-pc-_JM</t>
    </r>
  </si>
  <si>
    <t xml:space="preserve">Torre cpu.  Marca AMD Modelo AMD Radeon vega 8 Procesador:AMD Ryzen 7 Disco duro: 1TB RAM: 32GB </t>
  </si>
  <si>
    <t xml:space="preserve">Contado </t>
  </si>
  <si>
    <t>Tamaño del chasis: 400*210*440mm (Largo*Ancho*Alto) 1 x USB3.0 + 2 x USB2.0 + HD Audio, puertos ubicados en la parte superior 3 Ventiladores de 21cm RGB</t>
  </si>
  <si>
    <t xml:space="preserve">Nº2 </t>
  </si>
  <si>
    <t>Equimport1000</t>
  </si>
  <si>
    <r>
      <rPr>
        <sz val="10"/>
        <rFont val="Trebuchet MS"/>
      </rPr>
      <t xml:space="preserve"> Cra. 15 #80 - 05 Local 85 piso 3                     telefono -3107513965 </t>
    </r>
    <r>
      <rPr>
        <u/>
        <sz val="10"/>
        <color rgb="FF1155CC"/>
        <rFont val="Trebuchet MS"/>
      </rPr>
      <t>https://www.equimport1000.com/MCO-595980430-torre-cpu-gamer-ryzen-3-3200g-vega-8-1tb-16gb-pc-_JM</t>
    </r>
  </si>
  <si>
    <t>1 -Torre Cpu Gamer  Marca:AMD
Modelo: AMD Radeon™ Vega 8
Tipo de procesador: AMD Ryzen™ 7 5700G
Tamaño del disco duro: 1 TB
Marca del procesador: AMD
Línea del procesador: Ryzen 7
Modelo del procesador: Amd Ryzen 7 5700G</t>
  </si>
  <si>
    <t>contado,transferencia por medio de bancolombia o nequi</t>
  </si>
  <si>
    <t>Memoria Ram
• Tamaño: 32768MB (1X32GB ó 2X16GB)
• Tipo de memoria: DDR4
• Memory Clock Speed: 3200MHZ Blindada
• Número de Pines: 288     Disco Duro
• Disco Sólido SSD 1TB</t>
  </si>
  <si>
    <t>Nº 3</t>
  </si>
  <si>
    <t>Teratech.com</t>
  </si>
  <si>
    <r>
      <rPr>
        <sz val="10"/>
        <rFont val="Trebuchet MS"/>
      </rPr>
      <t xml:space="preserve">Centro de Alta Tecnología (Cra. 15 No. 77-05), Local 1-07, 2-65 y 2-100
Kamiloteratech@gmail.com
313 2086451 </t>
    </r>
    <r>
      <rPr>
        <u/>
        <sz val="10"/>
        <color rgb="FF1155CC"/>
        <rFont val="Trebuchet MS"/>
      </rPr>
      <t>https://teratech.com.co/tienda/pc-gamer-flow-gs/</t>
    </r>
  </si>
  <si>
    <t>Ram: 16GB Tarjeta grafica: RTX 2060 Almacenamiento: 512 GB PC FLOW GS ideal para Gaming, Streaming, edición de video, diseño gráfico y flujos de trabajo 3D moderados.</t>
  </si>
  <si>
    <t>Contado</t>
  </si>
  <si>
    <t>Chasis: 600W 80 + Bronce Board: ASUS PRIME B550M-A AC</t>
  </si>
  <si>
    <t>Menlo Park, California 94025,</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</si>
  <si>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</si>
  <si>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</si>
  <si>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</si>
  <si>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</si>
  <si>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</si>
  <si>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</si>
  <si>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</si>
  <si>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</si>
  <si>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</si>
  <si>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</si>
  <si>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ktronix</t>
  </si>
  <si>
    <t xml:space="preserve">NIT: 890.900.943-1   Servicio al cliente: (601) 407 3033  https://www.ktronix.com/monitor-lg-gamer-24-pulgadas-24gn65r-negro/p/8806091985897?fuente=google&amp;medio=cpc&amp;campaign=KT_COL_MAX_PEF_CPC_AON_COMP_TLP_Computadores_PAC&amp;keyword=&amp;gad_source=1&amp;gclid=Cj0KCQjwlZixBhCoARIsAIC745AO1oHdAc_cKn4xjZ8NsL1GmyhAywXDWrqtkQ5IKH54Q-C3-Q_pay4aAouOEALw_wcB
Venta Telefónica: (601) 746 8001        sugerencias@ktronix.com      </t>
  </si>
  <si>
    <t>Panel IPS con una tasa de refrezco 1 ms GTG y HDR 10
One screen control divide tu pantalla hasta 8 ventanas
Dynamic Action Sync Reacciona más rapido que tus oponentes
144 Hz y AMD FreeSync Premium
Divierte con altura ajustable y angulo de Giro a 90°</t>
  </si>
  <si>
    <t>Monitor LG Gaming de 24" pulgadas, tasa de refresco de 144Hz que permite a los jugadores ver rápidamente el próximo cuadro con imagenes más fluidaz. Con AMD Freesync premium tus juegos serán más claros, fluidos y rápidos, también podrás mejora tu puntería con crosshair y proteger tus ojos con los ajustes de brillo y tener el máximo desempeño para mejorar la experiencia en cambiar las reglas del juego.</t>
  </si>
  <si>
    <t>Alkosto</t>
  </si>
  <si>
    <r>
      <rPr>
        <u/>
        <sz val="10"/>
        <rFont val="Arial"/>
      </rPr>
      <t xml:space="preserve">NIT: 890.900.943-1   Servicio al cliente: (601) 407 3033         </t>
    </r>
    <r>
      <rPr>
        <u/>
        <sz val="10"/>
        <color rgb="FF1155CC"/>
        <rFont val="Arial"/>
      </rPr>
      <t>https://www.alkosto.com/monitor-lg-gamer-24-pulgadas-24gn65r-negro/p/8806091985897</t>
    </r>
  </si>
  <si>
    <t>Monitor Color: Negro Modelo: 24GN65R Resolucion FHD Tamañano: 23.8in Diseño: Plano</t>
  </si>
  <si>
    <t>contado</t>
  </si>
  <si>
    <t xml:space="preserve">Puertos y entradas: Puerto Display Port  Puerto HDMI 
Salida de Audífonos </t>
  </si>
  <si>
    <t>exito</t>
  </si>
  <si>
    <r>
      <rPr>
        <sz val="10"/>
        <color rgb="FF000000"/>
        <rFont val="&quot;Trebuchet MS&quot;"/>
      </rPr>
      <t xml:space="preserve">NIT 890900608-9. Ventas telefónicas (601) 4242400        </t>
    </r>
    <r>
      <rPr>
        <u/>
        <sz val="10"/>
        <color rgb="FF1155CC"/>
        <rFont val="&quot;Trebuchet MS&quot;"/>
      </rPr>
      <t>https://www.exito.com/monitor-lg-24gn65r-24-fhd-1ms-hdmi-dp-144hz-ultragear-gamer-102482668-mp/p?idsku=102482668&amp;srsltid=AfmBOoocqQHgPkE05mt46GqT32PyHGAESTTAnyBUQJ3wUm-ENpfCbcuT2kA</t>
    </r>
  </si>
  <si>
    <t>Pantalla de 23.8 pulgadas FHD (1920x1080)
IPS 1 ms (GtG)
Frecuencia de actualización de 144Hz
sRGB 99% (Típ.) y HDR10
AMD FreeSync™ Premium
Soporte ajustable en altura, inclinación y pivote</t>
  </si>
  <si>
    <t xml:space="preserve">
CAMBIAS LAS REGLAS DEL JUEGO
UltraGear™ de LG, el equipo más poderoso que aumenta tus posibilidades de ganar.
DISEÑADO PARA UNA VELOCIDAD INCREÍBLE
Con IPS 1 ms comparable a la velocidad TN, proporciona una imagen residual mínima y un tiempo rápido de respuesta, 
lo que te permite disfrutar de una nueva experiencia de juego.
MOVIMIENTO FLUIDO DE JUEGO
La velocidad ultrarrápida de 144 Hz le permite a los jugadores ver rápidamente el próximo cuadro 
y hace que la imagen aparezca con fluidez. Los jugadores pueden responder rápidamente a los oponentes 
y apuntar a sus objetivos con facilidad.
SIENTE EL COMBATE VÍVIDAMENTE CON COLORES VERDADEROS
Este monitor es compatible con HDR10 con sRGB 99 % (típ.), lo que permite una inmersión visual realista 
con colores intensos y con contraste. Independientemente del campo de batalla, puede ayudar a los jugadores 
a ver los colores dramáticos que los desarrolladores del juego pretendían.
</t>
  </si>
  <si>
    <t>ASUS Vivobook Go OLED 15.6"</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</si>
  <si>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</si>
  <si>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</si>
  <si>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</si>
  <si>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</si>
  <si>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</si>
  <si>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</si>
  <si>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</si>
  <si>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</si>
  <si>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</si>
  <si>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</si>
  <si>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 xml:space="preserve">exito </t>
  </si>
  <si>
    <r>
      <rPr>
        <sz val="10"/>
        <rFont val="Trebuchet MS"/>
      </rPr>
      <t xml:space="preserve">NIT 890900608-9.        Ventas telefónicas (601) 4242400              </t>
    </r>
    <r>
      <rPr>
        <u/>
        <sz val="10"/>
        <color rgb="FF1155CC"/>
        <rFont val="Trebuchet MS"/>
      </rPr>
      <t>https://www.exito.com/computador-lenovo-ideapad-slim-5-intel-core-i7-10-nucleos-16-gb-ram-512-gb-ssd-3138175/p?idsku=3446423&amp;gad_source=1&amp;gclid=Cj0KCQjwlZixBhCoARIsAIC745Dh6C_uuKTzduRFcL2TQAO8UrbIr-9rGuNF47FwZRsNtougDNjPAqsaAr62EALw_wcB&amp;gclsrc=aw.ds</t>
    </r>
  </si>
  <si>
    <t>Referencia
IdeaPad Slim 5
Sistema Operativo
Windows
Batería
Integrado 56.6Wh
Ancho
35.6 cm
Generación del procesador
13 th
Tamaño de Pantalla
16 Pulgadas
Conectividad
BluetoothJack 3.5 mmLector micro SDPuerto HDMIUSBUSB- tipo CWifi
Rango de Almacenamiento
501 GB a 1 TB</t>
  </si>
  <si>
    <t>falabella</t>
  </si>
  <si>
    <r>
      <rPr>
        <u/>
        <sz val="10"/>
        <color rgb="FF000000"/>
        <rFont val="Arial"/>
      </rPr>
      <t xml:space="preserve">Falabella.com S.A.S  . NIT 900.499.362-8. Calle 99 #14-49 Piso 9, Bogotá, Colombia      </t>
    </r>
    <r>
      <rPr>
        <u/>
        <sz val="10"/>
        <color rgb="FF1155CC"/>
        <rFont val="Arial"/>
      </rPr>
      <t>https://www.falabella.com.co/falabella-co/product/120420028/Portatil-Lenovo-IdeaPad-Slim-5-Intel-Core-i7-16GB-1TB-14%E2%80%9D-Gris/120420029?kid=shopp0000030fc&amp;pid=Google_w2a&amp;gad_source=1&amp;gclid=Cj0KCQjwlZixBhCoARIsAIC745BfuJfblOdsKpeB94JO-9DGMWEZxGjll_vtW_oj5GU30M1pcpoj2sQaAnz7EALw_wcB</t>
    </r>
  </si>
  <si>
    <t xml:space="preserve">    Sistema operativo específico Windows 11 Home
Capacidad de almacenamiento 1TB
Cantidad de puertos HDMI 1
Velocidad de procesamiento (GHz) 4.9
País de origen   China
Resolución de pantalla  WUXGA (1.920 × 1.200)</t>
  </si>
  <si>
    <t>Portátil
Lenovo Intel Core i7 16GB 1TB IdeaPad Slim 5 14
ESPECIFICACIONES
Color: Cloud Grey
Ref: IdeaPad Slim 5 14IRL8
SKU: 82XD0049LM</t>
  </si>
  <si>
    <r>
      <rPr>
        <sz val="10"/>
        <color rgb="FF000000"/>
        <rFont val="Trebuchet MS"/>
      </rPr>
      <t xml:space="preserve">Servicio al cliente: (601) 407 3033                          NIT: 890.900.943-1      </t>
    </r>
    <r>
      <rPr>
        <u/>
        <sz val="10"/>
        <color rgb="FF1155CC"/>
        <rFont val="Trebuchet MS"/>
      </rPr>
      <t>https://www.alkosto.com/computador-portatil-lenovo-16-pulgadas-ideapad-slim-5-intel-core-i7-ram-16gb-disco-ssd-512gb-azul/p/196804767444?fuente=google&amp;medio=cpc&amp;campaign=AK_COL_MAX_PEF_CPC_AON_COMP_Lenovo_Oct19_EXP_OCT&amp;keyword=&amp;gad_source=1&amp;gclid=Cj0KCQjwlZixBhCoARIsAIC745BG7ibrQOh0lDsXFvujz_BYanDcR6VfmqIYmWGUpVWHuV6UbFrsxFsaAslBEALw_wcB</t>
    </r>
  </si>
  <si>
    <t>Computador Portátil LENOVO 16" Pulgadas IdeaPad Slim 5 - Intel Core i7 - RAM 16GB - Disco SSD 512GB - Azul</t>
  </si>
  <si>
    <t xml:space="preserve">Portátil LENOVO IdeaPad slim 5 color Azul, encuentra todo el rendimiento que necesitas, su combinación generosa de memoria RAM LPDDR5, almacenamiento en estado solido y procesador serie H, es perfecto para tus tareas mas exigentes, con un diseño elegante y ligero , este equipo superará tus expectativas </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</si>
  <si>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</si>
  <si>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</si>
  <si>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</si>
  <si>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</si>
  <si>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</si>
  <si>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</si>
  <si>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</si>
  <si>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</si>
  <si>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</si>
  <si>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</si>
  <si>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Colombia latinoamerica  hosting</t>
  </si>
  <si>
    <r>
      <rPr>
        <sz val="10"/>
        <rFont val="Arial"/>
      </rPr>
      <t xml:space="preserve">Telefono:Bogotá: 580-0305 
 ubicacion :Lasing Michigan
Dallas Texas
Tampa Florida
Amsterdam                                 </t>
    </r>
    <r>
      <rPr>
        <u/>
        <sz val="10"/>
        <color rgb="FF1155CC"/>
        <rFont val="Arial"/>
      </rPr>
      <t>https://www.latinoamericahosting.com.co/?gad_source=1&amp;gclid=Cj0KCQjwlZixBhCoARIsAIC745CKhM7mdb3z19253A4CPWfHwqfrlEGpizYB9QKqV3qrQNuSj4LXfvYaAqXFEALw_wcB</t>
    </r>
  </si>
  <si>
    <t xml:space="preserve">hosting=H4
 800 GB de Tráfico / mes
 150 Cuentas E-mail
 25 Bases de datos
 5 Dominios permitidos
 WordPress / Joomla / Otros
 LiteSpeed + LSCache
 Seguridad Imunify360 Pago anual </t>
  </si>
  <si>
    <t>pago mesual                                             Constructor de sitios Pro Copias de seguridad SSL gratis (https://)</t>
  </si>
  <si>
    <t>Godaddy</t>
  </si>
  <si>
    <r>
      <rPr>
        <sz val="10"/>
        <color rgb="FF000000"/>
        <rFont val="Arial"/>
      </rPr>
      <t xml:space="preserve">Número de teléfono: +57 (601) 382-6761
Número de fax: (480) 624-2546
Dirección de correo electrónico: HQ@godaddy.com                                         </t>
    </r>
    <r>
      <rPr>
        <u/>
        <sz val="10"/>
        <color rgb="FF1155CC"/>
        <rFont val="Arial"/>
      </rPr>
      <t>https://www.godaddy.com/es/offers/hosting?isc=cohosgon1&amp;currencyType=COP&amp;countryview=1&amp;cdtl=c_19915533298.g_148413459355.k_kwd-302853133.a_652983093049.d_c.ctv_g&amp;bnb=b&amp;gad_source=1&amp;gclid=Cj0KCQjwlZixBhCoARIsAIC745ANSshU5NmnjVTw6v7FJDKFL7x-z_vzYIRg4ZYJl_RLdPuU_qVyZzwaAuDeEALw_wcB</t>
    </r>
  </si>
  <si>
    <t>10 sitios web
25 bases de datos
50 GB de almacenamiento NVMe
Recursos compartidos de RAM y vCPU
Dominio gratis (valor de $ 11,99/año)*
Correo electrónico gratis Pago anual</t>
  </si>
  <si>
    <t>469743,79 año</t>
  </si>
  <si>
    <t>119.88 año</t>
  </si>
  <si>
    <t>contado, transferecia por pse</t>
  </si>
  <si>
    <t>pago mensual                                                        SSL gratuito e ilimitado para todos tus sitios web3
Garantía de devolución de dinero por 30 días+
Herramienta de migración de WordPress gratuita</t>
  </si>
  <si>
    <t xml:space="preserve">colombia hosting </t>
  </si>
  <si>
    <t>bogota  (601) 7428885  Medellín: (604) 605 11 15 Cali: (602) 485 85 55                             https://www.colombiahosting.com.co/?utm_source=google&amp;utm_medium=cpc&amp;utm_campaign=50344187&amp;utm_content=1530106097&amp;utm_term=colombia%20hosting&amp;gad_source=1&amp;gclid=CjwKCAjwuJ2xBhA3EiwAMVjkVNci_Xejmphwnukgj9bwchoCQ221B70XVy9dJwELMku9tCLX5nhjdxoCnxgQAvD_BwE</t>
  </si>
  <si>
    <t>nivel: colhost3
precio: 371700/año
Espacio: 40gb
correos: 40 corporativos
bases de datos: 40
Dominio:</t>
  </si>
  <si>
    <t>pago mensual                                                Garantía de devolución de dinero por 30 días+</t>
  </si>
  <si>
    <t>Herramienta de migración de WordPress gratuita</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</si>
  <si>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</si>
  <si>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</si>
  <si>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</si>
  <si>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</si>
  <si>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</si>
  <si>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</si>
  <si>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</si>
  <si>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</si>
  <si>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</si>
  <si>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</si>
  <si>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hostinger</t>
  </si>
  <si>
    <t>https://www.hostinger.co/comprar-dominio</t>
  </si>
  <si>
    <t xml:space="preserve">.com 
</t>
  </si>
  <si>
    <t xml:space="preserve"> contado por transferencia paypal</t>
  </si>
  <si>
    <t>.com:comercial     vigencia de un mes</t>
  </si>
  <si>
    <t>colombia 
latinoamérica</t>
  </si>
  <si>
    <r>
      <rPr>
        <sz val="10"/>
        <color rgb="FF000000"/>
        <rFont val="Arial"/>
      </rPr>
      <t xml:space="preserve">Telefono:Bogotá: 580-0305 ubicacion :Lasing Michigan Dallas Texas Tampa Florida Amsterdam                      </t>
    </r>
    <r>
      <rPr>
        <u/>
        <sz val="10"/>
        <color rgb="FF1155CC"/>
        <rFont val="Arial"/>
      </rPr>
      <t>https://www.latinoamericahosting.com.co/dominios/</t>
    </r>
  </si>
  <si>
    <t xml:space="preserve">.com
</t>
  </si>
  <si>
    <t xml:space="preserve"> contado por transferencia de pago a bancolombia o nequi</t>
  </si>
  <si>
    <t>.com:comercial          vigencia de un mes</t>
  </si>
  <si>
    <t>hostgator</t>
  </si>
  <si>
    <t xml:space="preserve">pagina:https://www.hostgator.co/dominios         facebook :HostGator </t>
  </si>
  <si>
    <t xml:space="preserve">.com
</t>
  </si>
  <si>
    <t>51251,52</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</si>
  <si>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</si>
  <si>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</si>
  <si>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</si>
  <si>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</si>
  <si>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</si>
  <si>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</si>
  <si>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</si>
  <si>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</si>
  <si>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</si>
  <si>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</si>
  <si>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 xml:space="preserve">Microsoft </t>
  </si>
  <si>
    <r>
      <rPr>
        <sz val="10"/>
        <rFont val="Trebuchet MS"/>
      </rPr>
      <t xml:space="preserve"> Cl. 92 #11-51, Bogotá  telefono=(571) 326 4700 </t>
    </r>
    <r>
      <rPr>
        <u/>
        <sz val="10"/>
        <color rgb="FF1155CC"/>
        <rFont val="Trebuchet MS"/>
      </rPr>
      <t>https://n9.cl/cfstzi</t>
    </r>
  </si>
  <si>
    <t>Microsoft 365 Familia                                      -  Para una a seis personas
-Inicia sesión en cinco dispositivos simultáneamente
-Úsalo en PC, Mac, teléfonos y tabletas
-Up to 6 TB of secure cloud storage 
-Aplicaciones con características exclusivas y acceso sin conexión
-Seguridad para los datos y los dispositivos
-Correo electrónico seguro sin anuncios</t>
  </si>
  <si>
    <t>Microsoft 365 recibes protección en línea, almacenamiento seguro en la nube y aplicaciones innovadoras, todo en un solo plan.</t>
  </si>
  <si>
    <t>mac center</t>
  </si>
  <si>
    <t>https://mac-center.com/products/licencia-office-365-familia-licencia-hasta-6-usuarios-1-ano?variant=43448694309014&amp;currency=COP&amp;utm_medium=product_sync&amp;utm_source=google&amp;utm_content=sag_organic&amp;utm_campaign=sag_organic&amp;gad_source=1&amp;gclid=Cj0KCQjwlZixBhCoARIsAIC745CptyjO5Ds0ww1IbvyyUK99GfgrX6w6CRe8KGq8G70QfXTTKyTxZOwaAjsZEALw_wcB</t>
  </si>
  <si>
    <t xml:space="preserve">Microsoft 365 Familia                                      -  Para una a seis personas
-Inicia sesión en cinco dispositivos simultáneamente
-Úsalo en PC, Mac, teléfonos y tabletas
-Up to 6 TB of secure cloud storage 
-Aplicaciones con características exclusivas y acceso sin conexión
-Seguridad para los datos y los dispositivos
-Correo electrónico seguro sin anuncios
</t>
  </si>
  <si>
    <t>alkosto</t>
  </si>
  <si>
    <t>https://www.alkosto.com/marcas/microsoft/office-365/c/office-365?fuente=google&amp;medio=cpc&amp;campaign=AK_COL_DSA_PEF_CPC_CT_AON_COMP_TLP_Computadores-Category-AON_PAC&amp;keyword=&amp;gad_source=1&amp;gclid=Cj0KCQjwlZixBhCoARIsAIC745C_7Es8Ca2J1Cz3vzP7MNNqF9gA_ig4u8sYAy_4VZAKlDdfVCrUgnQaAtKsEALw_wcB</t>
  </si>
  <si>
    <t>Microsoft 365 Familia                                      -  Para una a seis personas
-Ini
cia sesión en cinco dispositivos simultáneamente
-Úsalo en PC, Mac, teléfonos y tabletas
-Up to 6 TB of secure cloud storage 
-Aplicaciones con características exclusivas y acceso sin conexión
-Seguridad para los datos y los dispositivos
-Correo electrónico seguro sin anuncios</t>
  </si>
  <si>
    <t>contado por transferencia paypal</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</si>
  <si>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</si>
  <si>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</si>
  <si>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</si>
  <si>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</si>
  <si>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</si>
  <si>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</si>
  <si>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</si>
  <si>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</si>
  <si>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</si>
  <si>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</si>
  <si>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Fallabella</t>
  </si>
  <si>
    <r>
      <rPr>
        <sz val="10"/>
        <rFont val="Trebuchet MS"/>
      </rPr>
      <t xml:space="preserve">NIT 900.499.362-8. Calle 99 #14-49 Piso 9, Bogotá, Colombia                </t>
    </r>
    <r>
      <rPr>
        <u/>
        <sz val="10"/>
        <color rgb="FF1155CC"/>
        <rFont val="Trebuchet MS"/>
      </rPr>
      <t>https://www.falabella.com.co/falabella-co/product/72859709/Teclado-Inalambrico-HP-USB-220-(805T2AA)/72859709</t>
    </r>
    <r>
      <rPr>
        <sz val="10"/>
        <rFont val="Trebuchet MS"/>
      </rPr>
      <t xml:space="preserve"> </t>
    </r>
  </si>
  <si>
    <t>Teclado Inalámbrico HP USB 220 (805T2AA)</t>
  </si>
  <si>
    <t xml:space="preserve">contado </t>
  </si>
  <si>
    <t>marca-hp    conexion-usb   inalambrico</t>
  </si>
  <si>
    <t>Exito</t>
  </si>
  <si>
    <r>
      <rPr>
        <sz val="10"/>
        <color rgb="FF000000"/>
        <rFont val="Arial"/>
      </rPr>
      <t xml:space="preserve">Cra 20 #14 - 17 sur · 305 4829109                         </t>
    </r>
    <r>
      <rPr>
        <u/>
        <sz val="10"/>
        <color rgb="FF1155CC"/>
        <rFont val="Arial"/>
      </rPr>
      <t>https://www.exito.com/teclado-genius-usb-smart-kb100-negro-con-letra-n-100052662-mp/p</t>
    </r>
    <r>
      <rPr>
        <sz val="10"/>
        <color rgb="FF000000"/>
        <rFont val="Arial"/>
      </rPr>
      <t xml:space="preserve">    </t>
    </r>
  </si>
  <si>
    <t xml:space="preserve">Teclado Genius Usb Smart Kb 100 Negro Con Letra Ñ
</t>
  </si>
  <si>
    <t>Producto nuevo, empacado y sellado en fábrica, original y en su respectiva caja
Con métodos de acceso preconstruidos para iniciar aplicaciones, acceder a documentos, invocar el navegador para visitar URLs, emoticonos frecuentes o códigos de tecla estándar.</t>
  </si>
  <si>
    <r>
      <rPr>
        <sz val="10"/>
        <rFont val="Trebuchet MS"/>
      </rPr>
      <t xml:space="preserve">Servicio al cliente: (601) 407 3033
Venta Telefónica: (601) 3649734                                    </t>
    </r>
    <r>
      <rPr>
        <u/>
        <sz val="10"/>
        <color rgb="FF1155CC"/>
        <rFont val="Trebuchet MS"/>
      </rPr>
      <t>https://www.alkosto.com/teclado-esenses-inalambrico-negro/p/7707278177542</t>
    </r>
    <r>
      <rPr>
        <sz val="10"/>
        <rFont val="Trebuchet MS"/>
      </rPr>
      <t xml:space="preserve"> </t>
    </r>
  </si>
  <si>
    <t>Teclado ESENSES Inalambrico Negro</t>
  </si>
  <si>
    <t>El teclado inalámbrico ESENSES WKB-207 negro es el perfecto compañero de tu computador, facilita su uso, es suave y con rápida respuesta de tecleo. Te da comodidad y confort al momento de la escritura al redactar documentos, navegar y hacer búsquedas por internet, sin cables para una mejor organización de tu lugar de trabajo.</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</si>
  <si>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</si>
  <si>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</si>
  <si>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</si>
  <si>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</si>
  <si>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</si>
  <si>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</si>
  <si>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</si>
  <si>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</si>
  <si>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</si>
  <si>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</si>
  <si>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https://acortar.link/bwm91u</t>
  </si>
  <si>
    <t>Mouse Lenovo 00PH133 Essential Black</t>
  </si>
  <si>
    <t>Utiliza cable. Posee rueda de desplazamiento.
Con sensor óptico.
Resolución de 1600dpi.</t>
  </si>
  <si>
    <t>https://www.exito.com/mouse-optico-alambrico-esenses-om-20-637800/p</t>
  </si>
  <si>
    <t>Mouse Alambrico M110 ESENSES OM20</t>
  </si>
  <si>
    <t>Referencia
OM-20</t>
  </si>
  <si>
    <t>https://www.alkosto.com/mouse-hp-alambrico-optico-100-negro/p/193905461370</t>
  </si>
  <si>
    <t>Mouse HP Alámbrico Óptico 100 Negro</t>
  </si>
  <si>
    <t>Sensor óptico de 1600 DPI para mayor velocidad
Conectividad USB para instalar y usar rápidamente
Diseño ambidiestro para la comodidad de todos
Diseño pensado en la forma natural de la mano</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</si>
  <si>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</si>
  <si>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</si>
  <si>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</si>
  <si>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</si>
  <si>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</si>
  <si>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</si>
  <si>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</si>
  <si>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</si>
  <si>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</si>
  <si>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</si>
  <si>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movistar</t>
  </si>
  <si>
    <r>
      <rPr>
        <sz val="10"/>
        <rFont val="Trebuchet MS"/>
      </rPr>
      <t xml:space="preserve">Ventas 01 8000 911 008
Atención 01 8000 930 930 </t>
    </r>
    <r>
      <rPr>
        <u/>
        <sz val="10"/>
        <color rgb="FF1155CC"/>
        <rFont val="Trebuchet MS"/>
      </rPr>
      <t>https://n9.cl/u2pa8</t>
    </r>
  </si>
  <si>
    <t>500 mb de internet</t>
  </si>
  <si>
    <t>contado por transferencia de pago a bancolombia o nequi</t>
  </si>
  <si>
    <t xml:space="preserve">500 Mbps / Velocidad de Bajada
500 Mbps / Velocidad de Subida  </t>
  </si>
  <si>
    <t xml:space="preserve"> ETB</t>
  </si>
  <si>
    <r>
      <rPr>
        <sz val="10"/>
        <color rgb="FF000000"/>
        <rFont val="Arial"/>
      </rPr>
      <t xml:space="preserve">Línea de ventas (Servicios Hogares y MiPymes)
Clientes Bogotá y Cundinamarca:
601 371400 </t>
    </r>
    <r>
      <rPr>
        <u/>
        <sz val="10"/>
        <color rgb="FF1155CC"/>
        <rFont val="Arial"/>
      </rPr>
      <t>https://n9.cl/adaws</t>
    </r>
  </si>
  <si>
    <t xml:space="preserve">  500 Mb
DE INTERNET </t>
  </si>
  <si>
    <t xml:space="preserve">500 Mbps / Velocidad de Bajada
500 Mbps / Velocidad de Subida     </t>
  </si>
  <si>
    <t>claro</t>
  </si>
  <si>
    <r>
      <rPr>
        <u/>
        <sz val="10"/>
        <color rgb="FF000000"/>
        <rFont val="Trebuchet MS"/>
      </rPr>
      <t xml:space="preserve"> Bogotá 601 7488888 / Nacional 018000 180456  </t>
    </r>
    <r>
      <rPr>
        <u/>
        <sz val="10"/>
        <color rgb="FF0000FF"/>
        <rFont val="Trebuchet MS"/>
      </rPr>
      <t xml:space="preserve">     https://clarosoluciones.com/soluciones?tsource=negocios_bogota_internet_dedicado_generico_16288601&amp;zone=bogota&amp;gad_source=1&amp;gclid=Cj0KCQjwlZixBhCoARIsAIC745D3ejnb73f8GJo7xblAqpvkX9e3bkbRglHGXEK4XVgFiPEOzdwCMEQaAmepEALw_wcB</t>
    </r>
  </si>
  <si>
    <t>500 mb  de internet</t>
  </si>
  <si>
    <t>internet 550 megas                 seguridad 10 equipos             microsft exchanges(10 licencias)</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</si>
  <si>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</si>
  <si>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</si>
  <si>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</si>
  <si>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</si>
  <si>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</si>
  <si>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</si>
  <si>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</si>
  <si>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</si>
  <si>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</si>
  <si>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</si>
  <si>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MONGO DB</t>
  </si>
  <si>
    <r>
      <rPr>
        <sz val="10"/>
        <rFont val="Trebuchet MS"/>
      </rPr>
      <t xml:space="preserve">YouTube:Mongo DB
TwitchTwitch:Mongo DB
Facebook:Mongo DB                                   </t>
    </r>
    <r>
      <rPr>
        <u/>
        <sz val="10"/>
        <color rgb="FF1155CC"/>
        <rFont val="Trebuchet MS"/>
      </rPr>
      <t>https://www.mongodb.com/es/pricing</t>
    </r>
  </si>
  <si>
    <t>10 GB a 4 TB de almacenamiento
De 2 GB a 768 GB de RAM
Aislamiento de red y controles de acceso detallados
Opciones multirregión y multinube disponibles</t>
  </si>
  <si>
    <t>transferencia de pago</t>
  </si>
  <si>
    <t>Para aplicaciones de producción con requisitos de carga de trabajo sofisticados. Controles de configuración avanzada.</t>
  </si>
  <si>
    <t xml:space="preserve">Scaleway </t>
  </si>
  <si>
    <r>
      <rPr>
        <u/>
        <sz val="10"/>
        <color rgb="FF000000"/>
        <rFont val="Arial"/>
      </rPr>
      <t>https://www.scaleway.com/en/</t>
    </r>
    <r>
      <rPr>
        <u/>
        <sz val="10"/>
        <color rgb="FF000000"/>
        <rFont val="Arial"/>
      </rPr>
      <t xml:space="preserve">                      </t>
    </r>
    <r>
      <rPr>
        <u/>
        <sz val="10"/>
        <color rgb="FF1155CC"/>
        <rFont val="Arial"/>
      </rPr>
      <t>https://www.joinsecret.com/es/scaleway</t>
    </r>
  </si>
  <si>
    <t>- Servidores en la nube alimentados por SSD
- Red de networking privada
- Almacenamiento escalable
- Redundancia geográfica
- Soporte dedicado
- Implantación de servidores ultrarrápida
- Integración sencilla de API</t>
  </si>
  <si>
    <t>Scaleway es una mejor solución basada en el porcentaje de reseñas positivas que mongoDB: 100 vs 99
Scaleway ofrece mejor relación calidad-precio que mongoDB: 4.9 vs 4.6
Scaleway tiene más funciones que mongoDB: 62 vs 28</t>
  </si>
  <si>
    <t>oracle</t>
  </si>
  <si>
    <r>
      <rPr>
        <sz val="8"/>
        <rFont val="Arial"/>
      </rPr>
      <t xml:space="preserve">Ventas: +57 60 1 611 6734   Oracle Colombia Calle 127 A No. 53A-45, Torre 2, Piso 9 Bogota, Colombia                            </t>
    </r>
    <r>
      <rPr>
        <u/>
        <sz val="8"/>
        <color rgb="FF1155CC"/>
        <rFont val="Arial"/>
      </rPr>
      <t>https://www.oracle.com/co/database/nosql/pricing/</t>
    </r>
  </si>
  <si>
    <t>Gestión de capacidad totalmente gestionada y sin esfuerzo sin crear algoritmos sofisticados de previsión de tráfico para aprovisionar las unidades de escritura y lectura pico o valle.
Ideal para supervisar y obtener toda la información sobre las cargas de trabajo de tabla NoSQL recién creadas antes de decidir qué modelo de asignación y precios resulta más eficaz.
Ahorra tiempo y esfuerzos sin crear modelos de patrones de carga de trabajo de cada aplicación para estimar el consumo de unidades de lectura y escritura.</t>
  </si>
  <si>
    <t>El modelo de facturación se basa en las capacidades de escritura y lectura que consumen tus aplicaciones.                      
Capacidad de almacenamiento en GB por mes*</t>
  </si>
  <si>
    <t>Configura una vez y deja la gestión de capacidad en manos de Oracle</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</si>
  <si>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</si>
  <si>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</si>
  <si>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</si>
  <si>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</si>
  <si>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</si>
  <si>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</si>
  <si>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</si>
  <si>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</si>
  <si>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</si>
  <si>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</si>
  <si>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Sublime text</t>
  </si>
  <si>
    <r>
      <rPr>
        <sz val="10"/>
        <rFont val="Trebuchet MS"/>
      </rPr>
      <t xml:space="preserve">twitter:Follow @sublimehq </t>
    </r>
    <r>
      <rPr>
        <u/>
        <sz val="10"/>
        <color rgb="FF1155CC"/>
        <rFont val="Trebuchet MS"/>
      </rPr>
      <t>https://www.sublimehq.com/store/text</t>
    </r>
  </si>
  <si>
    <t>Lenguajes compatibles: C++, Python, PHP, Rails y más
Plataformas compatibles: Windows, Linux, macOS
Ideal para: desarrolladores que necesitan un alto nivel de personalización y muchos atajos</t>
  </si>
  <si>
    <t>licencia de un año        Sublime Text es la mejor opción para un entorno de desarrollo completo, ya que agrupa código, marcado y prosa en una sola herramienta.</t>
  </si>
  <si>
    <t>Webstorm</t>
  </si>
  <si>
    <r>
      <rPr>
        <sz val="10"/>
        <color rgb="FF000000"/>
        <rFont val="Arial"/>
      </rPr>
      <t xml:space="preserve">correo: webmaster@jetbrains.com </t>
    </r>
    <r>
      <rPr>
        <u/>
        <sz val="10"/>
        <color rgb="FF1155CC"/>
        <rFont val="Arial"/>
      </rPr>
      <t>https://n9.cl/81eqn</t>
    </r>
  </si>
  <si>
    <t>Lenguajes compatibles: lenguajes de hojas de estilo como JavaScript y TypeScript
Plataformas compatibles: Windows, Linux y macOS
Ideal para: IDE de JavaScriptLenguajes compatibles: lenguajes de hojas de estilo como JavaScript y TypeScript
Plataformas compatibles: Windows, Linux y macOS
Ideal para: IDE de JavaScript</t>
  </si>
  <si>
    <t>231471,75 por año</t>
  </si>
  <si>
    <t>licencia de un año      WebStorm es un IDE para el desarrollo de JavaScript.</t>
  </si>
  <si>
    <t>MICROSOFT</t>
  </si>
  <si>
    <r>
      <rPr>
        <sz val="10"/>
        <rFont val="Trebuchet MS"/>
      </rPr>
      <t xml:space="preserve">Calle 92 # 11 – 51 Piso 10​
Bogotá
Colombia
Teléfono: (571) 326 4700
Línea de atención al cliente nacional: 018000931234 </t>
    </r>
    <r>
      <rPr>
        <u/>
        <sz val="10"/>
        <color rgb="FF1155CC"/>
        <rFont val="Trebuchet MS"/>
      </rPr>
      <t>https://visualstudio.microsoft.com/es/vs/pricing/?tab=business</t>
    </r>
  </si>
  <si>
    <t>VISUAL STUDIO CODE
Lenguajes compatibles: lenguajes de hojas de estilo como JavaScript y TypeScript
Plataformas compatibles: Windows, Linux y macOS
Ideal para: IDE de JavaScript</t>
  </si>
  <si>
    <t>176546,25 AL MES</t>
  </si>
  <si>
    <t xml:space="preserve">Contado por transferencia de pago </t>
  </si>
  <si>
    <t>licencia de un mes         Suscripción de Professional
IDE de Visual Studio Professional
Azure DevOps (plan básico)</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</si>
  <si>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</si>
  <si>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</si>
  <si>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</si>
  <si>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</si>
  <si>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</si>
  <si>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</si>
  <si>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</si>
  <si>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</si>
  <si>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</si>
  <si>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</si>
  <si>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balsamiq</t>
  </si>
  <si>
    <r>
      <rPr>
        <sz val="10"/>
        <rFont val="Trebuchet MS"/>
      </rPr>
      <t xml:space="preserve">Balsamiq Studios/Atención al cliente
+1 415-367-3531 </t>
    </r>
    <r>
      <rPr>
        <u/>
        <sz val="10"/>
        <color rgb="FF1155CC"/>
        <rFont val="Trebuchet MS"/>
      </rPr>
      <t>https://balsamiq.com/buy/</t>
    </r>
    <r>
      <rPr>
        <sz val="10"/>
        <rFont val="Trebuchet MS"/>
      </rPr>
      <t xml:space="preserve"> </t>
    </r>
  </si>
  <si>
    <t>Suscripcion para 20 proyectos 
Adecuado para la mayoría de empresas y equipos .</t>
  </si>
  <si>
    <t>Nuestro plan más popular.</t>
  </si>
  <si>
    <t>placeit</t>
  </si>
  <si>
    <t>https://placeit.net/</t>
  </si>
  <si>
    <t>mockups</t>
  </si>
  <si>
    <t>Muestra tus últimos diseños en una plantilla de diseño de playera. Obtén más descargas de tu app con iPhone Mockups o alcanza a los bestsellers con nuestras plantillas de portadas de libros. Placeit tiene justo los mockups que necesitas.</t>
  </si>
  <si>
    <t>envato elements</t>
  </si>
  <si>
    <t>https://elements.envato.com/es/pricing</t>
  </si>
  <si>
    <t>diseños de mockups</t>
  </si>
  <si>
    <t>16,50 USs</t>
  </si>
  <si>
    <t>Millones de recursos creativos
Descargas ilimitadas
Licencias comerciales simples
Cancela la suscripción en cualquier momento</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</si>
  <si>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</si>
  <si>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</si>
  <si>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</si>
  <si>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</si>
  <si>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</si>
  <si>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</si>
  <si>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</si>
  <si>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</si>
  <si>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</si>
  <si>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</si>
  <si>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Norton</t>
  </si>
  <si>
    <t>https://co.norton.com/products?SID=pzcum2mpkf.2&amp;cjid=8950379&amp;clickid=0d39aa5400ea11ef838c1dd70a82b82d&amp;af_sub4=aff&amp;af_sub5=CJ&amp;c=CJ&amp;cjevent=0d39aa5400ea11ef838c1dd70a82b82d</t>
  </si>
  <si>
    <t>5 equipos PC, Mac, tablets o teléfonos
Protección contra virus, software malicioso, ransomware y hackeos
Promesa de Protección contra Virus, 100 % garantizada2</t>
  </si>
  <si>
    <t>Copia de seguridad en la nube para PC con 50 GB disponibles‡‡,4
Administrador de contraseñas
Conexión VPN a Internet
Dark Web Monitoring§</t>
  </si>
  <si>
    <t>McAfee</t>
  </si>
  <si>
    <t>https://www.mcafee.com/consumer/es-co/landing-page/direct/aff/mtp-family/desktop/mcafee-total-protection.html?affid=1494&amp;pkg_id=535&amp;culture=es-co&amp;SID=pzcum2mpkf.3&amp;cjevent=0cfcd8f200ea11ef817303a60a82b832&amp;csrc=cj&amp;csrcl2=Webselenese+Ltd&amp;ccoe=direct&amp;ccoel2=am&amp;CID=242013&amp;PID=8950379&amp;ccstype=partnerlinks_0cfcd8f200ea11ef817303a60a82b832&amp;prgt=a</t>
  </si>
  <si>
    <t>5 Dispositivos
Suscripción de 1 año Antivirus galardonado
Firewall
Administrador de contraseñas</t>
  </si>
  <si>
    <t>Supervisión de identidad
Expertos en seguridad en línea
Protección web</t>
  </si>
  <si>
    <t>Avast</t>
  </si>
  <si>
    <t>https://www.avast.com/es-co/lp-aff-consumer-business-store-page?utm_medium=affiliate&amp;utm_source=commissionjunction&amp;utm_campaign=8950379&amp;utm_content=15294783&amp;couponfield=yes&amp;cjevent=a78f6f315b768c3de259b20f090a68f407ecd1e31f21f7f67&amp;trafficSource=affiliate&amp;partnerid=8950379&amp;programtype=CJ&amp;clickID=0d26e5a300ea11ef838c1dd70a82b82d&amp;cjid=8950379#pc</t>
  </si>
  <si>
    <t>10 Dispositivos</t>
  </si>
  <si>
    <t>Garantía de reembolso de 30 días</t>
  </si>
  <si>
    <t>,</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</si>
  <si>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</si>
  <si>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</si>
  <si>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</si>
  <si>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</si>
  <si>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</si>
  <si>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</si>
  <si>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</si>
  <si>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</si>
  <si>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</si>
  <si>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</si>
  <si>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Desarrollador junior</t>
  </si>
  <si>
    <t>estar en las primeras etapas de su carrera, con poca experiencia profesional, generalmente menos de dos años. Posee una base sólida en lenguajes de programación y conceptos básicos, y se encuentra en constante aprendizaje para mejorar</t>
  </si>
  <si>
    <t xml:space="preserve">   </t>
  </si>
  <si>
    <t>Desarrolador Mid</t>
  </si>
  <si>
    <t>se caracteriza por tener una experiencia y habilidades técnicas sólidas, que le permiten trabajar con mayor autonomía y responsabilidad que un desarrollador junior</t>
  </si>
  <si>
    <t>Consignacion a cuenta bancaria</t>
  </si>
  <si>
    <t>Desarroladores senior</t>
  </si>
  <si>
    <t>profundo conocimiento técnico, habilidades de liderazgo y colaboración, capacidad de resolución de problemas complejos, y disposición a enseñar y guiar a otros</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</si>
  <si>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</si>
  <si>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</si>
  <si>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</si>
  <si>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</si>
  <si>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</si>
  <si>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</si>
  <si>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</si>
  <si>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</si>
  <si>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</si>
  <si>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</si>
  <si>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u/>
        <sz val="10"/>
        <rFont val="Arial"/>
      </rPr>
      <t xml:space="preserve">NIT: 890.900.943-1   Servicio al cliente: (601) 407 3033         </t>
    </r>
    <r>
      <rPr>
        <u/>
        <sz val="10"/>
        <color rgb="FF1155CC"/>
        <rFont val="Arial"/>
      </rPr>
      <t>https://www.alkosto.com/monitor-lg-gamer-24-pulgadas-24gn65r-negro/p/8806091985897</t>
    </r>
  </si>
  <si>
    <r>
      <rPr>
        <sz val="10"/>
        <color rgb="FF000000"/>
        <rFont val="&quot;Trebuchet MS&quot;"/>
      </rPr>
      <t xml:space="preserve">NIT 890900608-9. Ventas telefónicas (601) 4242400        </t>
    </r>
    <r>
      <rPr>
        <u/>
        <sz val="10"/>
        <color rgb="FF1155CC"/>
        <rFont val="&quot;Trebuchet MS&quot;"/>
      </rPr>
      <t>https://www.exito.com/monitor-lg-24gn65r-24-fhd-1ms-hdmi-dp-144hz-ultragear-gamer-102482668-mp/p?idsku=102482668&amp;srsltid=AfmBOoocqQHgPkE05mt46GqT32PyHGAESTTAnyBUQJ3wUm-ENpfCbcuT2kA</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</si>
  <si>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</si>
  <si>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</si>
  <si>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</si>
  <si>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</si>
  <si>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</si>
  <si>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</si>
  <si>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</si>
  <si>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</si>
  <si>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</si>
  <si>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</si>
  <si>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rFont val="Arial"/>
      </rPr>
      <t xml:space="preserve">Telefono:Bogotá: 580-0305 
 ubicacion :Lasing Michigan
Dallas Texas
Tampa Florida
Amsterdam                                 </t>
    </r>
    <r>
      <rPr>
        <u/>
        <sz val="10"/>
        <color rgb="FF1155CC"/>
        <rFont val="Arial"/>
      </rPr>
      <t>https://www.latinoamericahosting.com.co/?gad_source=1&amp;gclid=Cj0KCQjwlZixBhCoARIsAIC745CKhM7mdb3z19253A4CPWfHwqfrlEGpizYB9QKqV3qrQNuSj4LXfvYaAqXFEALw_wcB</t>
    </r>
  </si>
  <si>
    <r>
      <rPr>
        <sz val="10"/>
        <color rgb="FF000000"/>
        <rFont val="Arial"/>
      </rPr>
      <t xml:space="preserve">Número de teléfono: +57 (601) 382-6761
Número de fax: (480) 624-2546
Dirección de correo electrónico: HQ@godaddy.com                                         </t>
    </r>
    <r>
      <rPr>
        <u/>
        <sz val="10"/>
        <color rgb="FF1155CC"/>
        <rFont val="Arial"/>
      </rPr>
      <t>https://www.godaddy.com/es/offers/hosting?isc=cohosgon1&amp;currencyType=COP&amp;countryview=1&amp;cdtl=c_19915533298.g_148413459355.k_kwd-302853133.a_652983093049.d_c.ctv_g&amp;bnb=b&amp;gad_source=1&amp;gclid=Cj0KCQjwlZixBhCoARIsAIC745ANSshU5NmnjVTw6v7FJDKFL7x-z_vzYIRg4ZYJl_RLdPuU_qVyZzwaAuDeEALw_wcB</t>
    </r>
  </si>
  <si>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</si>
  <si>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</si>
  <si>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</si>
  <si>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</si>
  <si>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</si>
  <si>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</si>
  <si>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</si>
  <si>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</si>
  <si>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</si>
  <si>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</si>
  <si>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color rgb="FF000000"/>
        <rFont val="Arial"/>
      </rPr>
      <t xml:space="preserve">Telefono:Bogotá: 580-0305 ubicacion :Lasing Michigan Dallas Texas Tampa Florida Amsterdam                      </t>
    </r>
    <r>
      <rPr>
        <u/>
        <sz val="10"/>
        <color rgb="FF1155CC"/>
        <rFont val="Arial"/>
      </rPr>
      <t>https://www.latinoamericahosting.com.co/dominios/</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</si>
  <si>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</si>
  <si>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</si>
  <si>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</si>
  <si>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</si>
  <si>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</si>
  <si>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</si>
  <si>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</si>
  <si>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</si>
  <si>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</si>
  <si>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</si>
  <si>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rFont val="Trebuchet MS"/>
      </rPr>
      <t xml:space="preserve"> Cl. 92 #11-51, Bogotá  telefono=(571) 326 4700 </t>
    </r>
    <r>
      <rPr>
        <u/>
        <sz val="10"/>
        <color rgb="FF1155CC"/>
        <rFont val="Trebuchet MS"/>
      </rPr>
      <t>https://n9.cl/cfstzi</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</si>
  <si>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</si>
  <si>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</si>
  <si>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</si>
  <si>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</si>
  <si>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</si>
  <si>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</si>
  <si>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</si>
  <si>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</si>
  <si>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</si>
  <si>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</si>
  <si>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rFont val="Trebuchet MS"/>
      </rPr>
      <t xml:space="preserve">NIT 900.499.362-8. Calle 99 #14-49 Piso 9, Bogotá, Colombia                </t>
    </r>
    <r>
      <rPr>
        <u/>
        <sz val="10"/>
        <color rgb="FF1155CC"/>
        <rFont val="Trebuchet MS"/>
      </rPr>
      <t>https://www.falabella.com.co/falabella-co/product/72859709/Teclado-Inalambrico-HP-USB-220-(805T2AA)/72859709</t>
    </r>
    <r>
      <rPr>
        <sz val="10"/>
        <rFont val="Trebuchet MS"/>
      </rPr>
      <t xml:space="preserve"> </t>
    </r>
  </si>
  <si>
    <r>
      <rPr>
        <sz val="10"/>
        <color rgb="FF000000"/>
        <rFont val="Arial"/>
      </rPr>
      <t xml:space="preserve">Cra 20 #14 - 17 sur · 305 4829109                         </t>
    </r>
    <r>
      <rPr>
        <u/>
        <sz val="10"/>
        <color rgb="FF1155CC"/>
        <rFont val="Arial"/>
      </rPr>
      <t>https://www.exito.com/teclado-genius-usb-smart-kb100-negro-con-letra-n-100052662-mp/p</t>
    </r>
    <r>
      <rPr>
        <sz val="10"/>
        <color rgb="FF000000"/>
        <rFont val="Arial"/>
      </rPr>
      <t xml:space="preserve">    </t>
    </r>
  </si>
  <si>
    <r>
      <rPr>
        <sz val="10"/>
        <rFont val="Trebuchet MS"/>
      </rPr>
      <t xml:space="preserve">Servicio al cliente: (601) 407 3033
Venta Telefónica: (601) 3649734                                    </t>
    </r>
    <r>
      <rPr>
        <u/>
        <sz val="10"/>
        <color rgb="FF1155CC"/>
        <rFont val="Trebuchet MS"/>
      </rPr>
      <t>https://www.alkosto.com/teclado-esenses-inalambrico-negro/p/7707278177542</t>
    </r>
    <r>
      <rPr>
        <sz val="10"/>
        <rFont val="Trebuchet MS"/>
      </rPr>
      <t xml:space="preserve"> </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</si>
  <si>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</si>
  <si>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</si>
  <si>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</si>
  <si>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</si>
  <si>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</si>
  <si>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</si>
  <si>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</si>
  <si>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</si>
  <si>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</si>
  <si>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</si>
  <si>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</si>
  <si>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</si>
  <si>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</si>
  <si>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</si>
  <si>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</si>
  <si>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</si>
  <si>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</si>
  <si>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</si>
  <si>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</si>
  <si>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</si>
  <si>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rFont val="Trebuchet MS"/>
      </rPr>
      <t xml:space="preserve">Ventas 01 8000 911 008
Atención 01 8000 930 930 </t>
    </r>
    <r>
      <rPr>
        <u/>
        <sz val="10"/>
        <color rgb="FF1155CC"/>
        <rFont val="Trebuchet MS"/>
      </rPr>
      <t>https://n9.cl/u2pa8</t>
    </r>
  </si>
  <si>
    <r>
      <rPr>
        <sz val="10"/>
        <color rgb="FF000000"/>
        <rFont val="Arial"/>
      </rPr>
      <t xml:space="preserve">Línea de ventas (Servicios Hogares y MiPymes)
Clientes Bogotá y Cundinamarca:
601 371400 </t>
    </r>
    <r>
      <rPr>
        <u/>
        <sz val="10"/>
        <color rgb="FF1155CC"/>
        <rFont val="Arial"/>
      </rPr>
      <t>https://n9.cl/adaws</t>
    </r>
  </si>
  <si>
    <r>
      <rPr>
        <u/>
        <sz val="10"/>
        <color rgb="FF000000"/>
        <rFont val="Trebuchet MS"/>
      </rPr>
      <t xml:space="preserve"> Bogotá 601 7488888 / Nacional 018000 180456  </t>
    </r>
    <r>
      <rPr>
        <u/>
        <sz val="10"/>
        <color rgb="FF0000FF"/>
        <rFont val="Trebuchet MS"/>
      </rPr>
      <t xml:space="preserve">     https://clarosoluciones.com/soluciones?tsource=negocios_bogota_internet_dedicado_generico_16288601&amp;zone=bogota&amp;gad_source=1&amp;gclid=Cj0KCQjwlZixBhCoARIsAIC745D3ejnb73f8GJo7xblAqpvkX9e3bkbRglHGXEK4XVgFiPEOzdwCMEQaAmepEALw_wcB</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</si>
  <si>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</si>
  <si>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</si>
  <si>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</si>
  <si>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</si>
  <si>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</si>
  <si>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</si>
  <si>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</si>
  <si>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</si>
  <si>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</si>
  <si>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</si>
  <si>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rFont val="Trebuchet MS"/>
      </rPr>
      <t xml:space="preserve">YouTube:Mongo DB
TwitchTwitch:Mongo DB
Facebook:Mongo DB                                   </t>
    </r>
    <r>
      <rPr>
        <u/>
        <sz val="10"/>
        <color rgb="FF1155CC"/>
        <rFont val="Trebuchet MS"/>
      </rPr>
      <t>https://www.mongodb.com/es/pricing</t>
    </r>
  </si>
  <si>
    <r>
      <rPr>
        <u/>
        <sz val="10"/>
        <color rgb="FF000000"/>
        <rFont val="Arial"/>
      </rPr>
      <t>https://www.scaleway.com/en/</t>
    </r>
    <r>
      <rPr>
        <u/>
        <sz val="10"/>
        <color rgb="FF000000"/>
        <rFont val="Arial"/>
      </rPr>
      <t xml:space="preserve">                      </t>
    </r>
    <r>
      <rPr>
        <u/>
        <sz val="10"/>
        <color rgb="FF1155CC"/>
        <rFont val="Arial"/>
      </rPr>
      <t>https://www.joinsecret.com/es/scaleway</t>
    </r>
  </si>
  <si>
    <r>
      <rPr>
        <sz val="8"/>
        <rFont val="Arial"/>
      </rPr>
      <t xml:space="preserve">Ventas: +57 60 1 611 6734   Oracle Colombia Calle 127 A No. 53A-45, Torre 2, Piso 9 Bogota, Colombia                            </t>
    </r>
    <r>
      <rPr>
        <u/>
        <sz val="8"/>
        <color rgb="FF1155CC"/>
        <rFont val="Arial"/>
      </rPr>
      <t>https://www.oracle.com/co/database/nosql/pricing/</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</si>
  <si>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</si>
  <si>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</si>
  <si>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</si>
  <si>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</si>
  <si>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</si>
  <si>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</si>
  <si>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</si>
  <si>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</si>
  <si>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</si>
  <si>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</si>
  <si>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rFont val="Trebuchet MS"/>
      </rPr>
      <t xml:space="preserve">twitter:Follow @sublimehq </t>
    </r>
    <r>
      <rPr>
        <u/>
        <sz val="10"/>
        <color rgb="FF1155CC"/>
        <rFont val="Trebuchet MS"/>
      </rPr>
      <t>https://www.sublimehq.com/store/text</t>
    </r>
  </si>
  <si>
    <r>
      <rPr>
        <sz val="10"/>
        <color rgb="FF000000"/>
        <rFont val="Arial"/>
      </rPr>
      <t xml:space="preserve">correo: webmaster@jetbrains.com </t>
    </r>
    <r>
      <rPr>
        <u/>
        <sz val="10"/>
        <color rgb="FF1155CC"/>
        <rFont val="Arial"/>
      </rPr>
      <t>https://n9.cl/81eqn</t>
    </r>
  </si>
  <si>
    <r>
      <rPr>
        <sz val="10"/>
        <rFont val="Trebuchet MS"/>
      </rPr>
      <t xml:space="preserve">Calle 92 # 11 – 51 Piso 10​
Bogotá
Colombia
Teléfono: (571) 326 4700
Línea de atención al cliente nacional: 018000931234 </t>
    </r>
    <r>
      <rPr>
        <u/>
        <sz val="10"/>
        <color rgb="FF1155CC"/>
        <rFont val="Trebuchet MS"/>
      </rPr>
      <t>https://visualstudio.microsoft.com/es/vs/pricing/?tab=business</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</si>
  <si>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</si>
  <si>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</si>
  <si>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</si>
  <si>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</si>
  <si>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</si>
  <si>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</si>
  <si>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</si>
  <si>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</si>
  <si>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</si>
  <si>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</si>
  <si>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rFont val="Trebuchet MS"/>
      </rPr>
      <t xml:space="preserve">Balsamiq Studios/Atención al cliente
+1 415-367-3531 </t>
    </r>
    <r>
      <rPr>
        <u/>
        <sz val="10"/>
        <color rgb="FF1155CC"/>
        <rFont val="Trebuchet MS"/>
      </rPr>
      <t>https://balsamiq.com/buy/</t>
    </r>
    <r>
      <rPr>
        <sz val="10"/>
        <rFont val="Trebuchet MS"/>
      </rPr>
      <t xml:space="preserve"> </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</si>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</sst>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quot;$&quot;* #,##0.00_-;\-&quot;$&quot;* #,##0.00_-;_-&quot;$&quot;* &quot;-&quot;??_-;_-@"/>
  </numFmts>
  <fonts count="46">
    <font>
      <sz val="10"/>
      <color rgb="FF000000"/>
      <name val="Arial"/>
      <scheme val="minor"/>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FF"/>
      <name val="Trebuchet MS"/>
    </font>
    <font>
      <sz val="10"/>
      <color rgb="FF000000"/>
      <name val="Trebuchet MS"/>
    </font>
    <font>
      <u/>
      <sz val="10"/>
      <color rgb="FF0000FF"/>
      <name val="Trebuchet MS"/>
    </font>
    <font>
      <sz val="10"/>
      <color theme="1"/>
      <name val="Arial"/>
    </font>
    <font>
      <sz val="10"/>
      <color theme="1"/>
      <name val="Arial Narrow"/>
    </font>
    <font>
      <u/>
      <sz val="10"/>
      <color rgb="FF0000FF"/>
      <name val="Arial"/>
    </font>
    <font>
      <u/>
      <sz val="10"/>
      <color rgb="FF000000"/>
      <name val="Trebuchet MS"/>
    </font>
    <font>
      <sz val="10"/>
      <color rgb="FF231F20"/>
      <name val="Poppins"/>
    </font>
    <font>
      <sz val="11"/>
      <color rgb="FF231F20"/>
      <name val="Poppins"/>
    </font>
    <font>
      <u/>
      <sz val="10"/>
      <color rgb="FF000000"/>
      <name val="Arial"/>
    </font>
    <font>
      <u/>
      <sz val="10"/>
      <color rgb="FF0000FF"/>
      <name val="Arial"/>
    </font>
    <font>
      <u/>
      <sz val="10"/>
      <color rgb="FF000000"/>
      <name val="Arial"/>
    </font>
    <font>
      <sz val="9"/>
      <color rgb="FF111111"/>
      <name val="Arial"/>
    </font>
    <font>
      <sz val="9"/>
      <color rgb="FF111111"/>
      <name val="Gdsherpa"/>
    </font>
    <font>
      <u/>
      <sz val="10"/>
      <color rgb="FF000000"/>
      <name val="Arial"/>
    </font>
    <font>
      <sz val="10"/>
      <color rgb="FF1F1F1F"/>
      <name val="Arial"/>
    </font>
    <font>
      <u/>
      <sz val="10"/>
      <color rgb="FF0000FF"/>
      <name val="Arial"/>
    </font>
    <font>
      <u/>
      <sz val="10"/>
      <color rgb="FF000000"/>
      <name val="Arial"/>
    </font>
    <font>
      <u/>
      <sz val="10"/>
      <color rgb="FF000000"/>
      <name val="Arial"/>
    </font>
    <font>
      <u/>
      <sz val="8"/>
      <color rgb="FF0000FF"/>
      <name val="Arial"/>
    </font>
    <font>
      <sz val="10"/>
      <color rgb="FF161513"/>
      <name val="Arial"/>
    </font>
    <font>
      <sz val="11"/>
      <color rgb="FF161513"/>
      <name val="Arial"/>
    </font>
    <font>
      <sz val="11"/>
      <color rgb="FF161513"/>
      <name val="OracleSansVF"/>
    </font>
    <font>
      <sz val="11"/>
      <color theme="1"/>
      <name val="Quattrocento Sans"/>
    </font>
    <font>
      <sz val="10"/>
      <color rgb="FF000000"/>
      <name val="Arial"/>
    </font>
    <font>
      <u/>
      <sz val="10"/>
      <color rgb="FF0000FF"/>
      <name val="Trebuchet MS"/>
    </font>
    <font>
      <i/>
      <sz val="8"/>
      <color theme="1"/>
      <name val="Trebuchet MS"/>
    </font>
    <font>
      <i/>
      <sz val="10"/>
      <color theme="1"/>
      <name val="Trebuchet MS"/>
    </font>
    <font>
      <i/>
      <u/>
      <sz val="8"/>
      <color theme="1"/>
      <name val="Trebuchet MS"/>
    </font>
    <font>
      <i/>
      <sz val="8"/>
      <color theme="1"/>
      <name val="Arial"/>
    </font>
    <font>
      <sz val="10"/>
      <name val="Trebuchet MS"/>
    </font>
    <font>
      <u/>
      <sz val="10"/>
      <color rgb="FF1155CC"/>
      <name val="Trebuchet MS"/>
    </font>
    <font>
      <u/>
      <sz val="10"/>
      <name val="Arial"/>
    </font>
    <font>
      <u/>
      <sz val="10"/>
      <color rgb="FF1155CC"/>
      <name val="Arial"/>
    </font>
    <font>
      <sz val="10"/>
      <color rgb="FF000000"/>
      <name val="&quot;Trebuchet MS&quot;"/>
    </font>
    <font>
      <u/>
      <sz val="10"/>
      <color rgb="FF1155CC"/>
      <name val="&quot;Trebuchet MS&quot;"/>
    </font>
    <font>
      <sz val="8"/>
      <name val="Arial"/>
    </font>
    <font>
      <u/>
      <sz val="8"/>
      <color rgb="FF1155CC"/>
      <name val="Arial"/>
    </font>
  </fonts>
  <fills count="7">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s>
  <cellStyleXfs count="1">
    <xf numFmtId="0" fontId="0" fillId="0" borderId="0"/>
  </cellStyleXfs>
  <cellXfs count="74">
    <xf numFmtId="0" fontId="0" fillId="0" borderId="0" xfId="0"/>
    <xf numFmtId="0" fontId="3" fillId="3"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4"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6" fillId="0" borderId="0" xfId="0" applyFont="1" applyAlignment="1">
      <alignment horizontal="center" vertical="center"/>
    </xf>
    <xf numFmtId="0" fontId="3" fillId="3" borderId="4" xfId="0" applyFont="1" applyFill="1" applyBorder="1" applyAlignment="1">
      <alignment horizontal="center" vertical="center"/>
    </xf>
    <xf numFmtId="0" fontId="7" fillId="0" borderId="4" xfId="0" applyFont="1" applyBorder="1" applyAlignment="1">
      <alignment horizontal="center" vertical="top" wrapText="1"/>
    </xf>
    <xf numFmtId="0" fontId="8" fillId="0" borderId="4" xfId="0" applyFont="1" applyBorder="1" applyAlignment="1">
      <alignment horizontal="left" vertical="top" wrapText="1"/>
    </xf>
    <xf numFmtId="164" fontId="9" fillId="6" borderId="6" xfId="0" applyNumberFormat="1" applyFont="1" applyFill="1" applyBorder="1" applyAlignment="1">
      <alignment horizontal="center" vertical="top"/>
    </xf>
    <xf numFmtId="164" fontId="7" fillId="0" borderId="4" xfId="0" applyNumberFormat="1" applyFont="1" applyBorder="1" applyAlignment="1">
      <alignment horizontal="center" vertical="top" wrapText="1"/>
    </xf>
    <xf numFmtId="0" fontId="10" fillId="0" borderId="4" xfId="0" applyFont="1" applyBorder="1" applyAlignment="1">
      <alignment horizontal="center" vertical="top" wrapText="1"/>
    </xf>
    <xf numFmtId="0" fontId="7" fillId="0" borderId="4" xfId="0" applyFont="1" applyBorder="1" applyAlignment="1">
      <alignment horizontal="left" vertical="top" wrapText="1"/>
    </xf>
    <xf numFmtId="0" fontId="9" fillId="6" borderId="6" xfId="0" applyFont="1" applyFill="1" applyBorder="1" applyAlignment="1">
      <alignment horizontal="left"/>
    </xf>
    <xf numFmtId="0" fontId="11" fillId="0" borderId="4" xfId="0" applyFont="1" applyBorder="1"/>
    <xf numFmtId="0" fontId="12" fillId="0" borderId="0" xfId="0" applyFont="1" applyAlignment="1">
      <alignment horizontal="center" vertical="center" wrapText="1"/>
    </xf>
    <xf numFmtId="0" fontId="11" fillId="0" borderId="0" xfId="0" applyFont="1"/>
    <xf numFmtId="0" fontId="13" fillId="0" borderId="4" xfId="0" applyFont="1" applyBorder="1" applyAlignment="1">
      <alignment horizontal="center" vertical="top" wrapText="1"/>
    </xf>
    <xf numFmtId="0" fontId="14" fillId="6" borderId="6" xfId="0" applyFont="1" applyFill="1" applyBorder="1" applyAlignment="1">
      <alignment horizontal="center" vertical="top" wrapText="1"/>
    </xf>
    <xf numFmtId="164" fontId="11" fillId="0" borderId="0" xfId="0" applyNumberFormat="1" applyFont="1" applyAlignment="1">
      <alignment horizontal="center" vertical="top"/>
    </xf>
    <xf numFmtId="164" fontId="15" fillId="0" borderId="0" xfId="0" applyNumberFormat="1" applyFont="1" applyAlignment="1">
      <alignment horizontal="left" vertical="top"/>
    </xf>
    <xf numFmtId="164" fontId="16" fillId="0" borderId="0" xfId="0" applyNumberFormat="1" applyFont="1" applyAlignment="1">
      <alignment horizontal="left" vertical="top"/>
    </xf>
    <xf numFmtId="0" fontId="17" fillId="0" borderId="4" xfId="0" applyFont="1" applyBorder="1" applyAlignment="1">
      <alignment horizontal="center" vertical="top" wrapText="1"/>
    </xf>
    <xf numFmtId="0" fontId="18" fillId="0" borderId="0" xfId="0" applyFont="1" applyAlignment="1">
      <alignment horizontal="left" vertical="top" wrapText="1"/>
    </xf>
    <xf numFmtId="2" fontId="7" fillId="0" borderId="4" xfId="0" applyNumberFormat="1" applyFont="1" applyBorder="1" applyAlignment="1">
      <alignment horizontal="center" vertical="top" wrapText="1"/>
    </xf>
    <xf numFmtId="3" fontId="7" fillId="0" borderId="4" xfId="0" applyNumberFormat="1" applyFont="1" applyBorder="1" applyAlignment="1">
      <alignment horizontal="center" vertical="top" wrapText="1"/>
    </xf>
    <xf numFmtId="0" fontId="9" fillId="6" borderId="4" xfId="0" applyFont="1" applyFill="1" applyBorder="1" applyAlignment="1">
      <alignment horizontal="left" vertical="top" wrapText="1"/>
    </xf>
    <xf numFmtId="0" fontId="19" fillId="6" borderId="4" xfId="0" applyFont="1" applyFill="1" applyBorder="1" applyAlignment="1">
      <alignment horizontal="left" vertical="top" wrapText="1"/>
    </xf>
    <xf numFmtId="0" fontId="20" fillId="0" borderId="4" xfId="0" applyFont="1" applyBorder="1" applyAlignment="1">
      <alignment vertical="top" wrapText="1"/>
    </xf>
    <xf numFmtId="4" fontId="7" fillId="0" borderId="4" xfId="0" applyNumberFormat="1" applyFont="1" applyBorder="1" applyAlignment="1">
      <alignment horizontal="center" vertical="top" wrapText="1"/>
    </xf>
    <xf numFmtId="2" fontId="9" fillId="6" borderId="6" xfId="0" applyNumberFormat="1" applyFont="1" applyFill="1" applyBorder="1" applyAlignment="1">
      <alignment horizontal="center" vertical="top"/>
    </xf>
    <xf numFmtId="0" fontId="21" fillId="0" borderId="0" xfId="0" applyFont="1"/>
    <xf numFmtId="0" fontId="9" fillId="6" borderId="4" xfId="0" applyFont="1" applyFill="1" applyBorder="1" applyAlignment="1">
      <alignment horizontal="center" vertical="top" wrapText="1"/>
    </xf>
    <xf numFmtId="0" fontId="22" fillId="6" borderId="6" xfId="0" applyFont="1" applyFill="1" applyBorder="1" applyAlignment="1">
      <alignment horizontal="left" wrapText="1"/>
    </xf>
    <xf numFmtId="2" fontId="23" fillId="6" borderId="4" xfId="0" applyNumberFormat="1" applyFont="1" applyFill="1" applyBorder="1" applyAlignment="1">
      <alignment horizontal="center" vertical="top" wrapText="1"/>
    </xf>
    <xf numFmtId="0" fontId="24" fillId="0" borderId="4" xfId="0" applyFont="1" applyBorder="1" applyAlignment="1">
      <alignment horizontal="left" vertical="top" wrapText="1"/>
    </xf>
    <xf numFmtId="3" fontId="9" fillId="6" borderId="4" xfId="0" applyNumberFormat="1" applyFont="1" applyFill="1" applyBorder="1" applyAlignment="1">
      <alignment horizontal="center" vertical="top"/>
    </xf>
    <xf numFmtId="0" fontId="9" fillId="6" borderId="4" xfId="0" applyFont="1" applyFill="1" applyBorder="1" applyAlignment="1">
      <alignment horizontal="left" wrapText="1"/>
    </xf>
    <xf numFmtId="2" fontId="11" fillId="0" borderId="0" xfId="0" applyNumberFormat="1" applyFont="1"/>
    <xf numFmtId="3" fontId="11" fillId="0" borderId="0" xfId="0" applyNumberFormat="1" applyFont="1"/>
    <xf numFmtId="0" fontId="25" fillId="0" borderId="4" xfId="0" applyFont="1" applyBorder="1" applyAlignment="1">
      <alignment horizontal="left" vertical="top" wrapText="1"/>
    </xf>
    <xf numFmtId="165" fontId="7" fillId="0" borderId="4" xfId="0" applyNumberFormat="1" applyFont="1" applyBorder="1" applyAlignment="1">
      <alignment horizontal="center" vertical="top" wrapText="1"/>
    </xf>
    <xf numFmtId="0" fontId="26" fillId="0" borderId="0" xfId="0" applyFont="1" applyAlignment="1">
      <alignment vertical="top" wrapText="1"/>
    </xf>
    <xf numFmtId="2" fontId="7" fillId="0" borderId="4" xfId="0" applyNumberFormat="1" applyFont="1" applyBorder="1" applyAlignment="1">
      <alignment horizontal="left" vertical="top" wrapText="1"/>
    </xf>
    <xf numFmtId="2" fontId="9" fillId="6" borderId="7" xfId="0" applyNumberFormat="1" applyFont="1" applyFill="1" applyBorder="1" applyAlignment="1">
      <alignment horizontal="center" vertical="top"/>
    </xf>
    <xf numFmtId="0" fontId="27" fillId="0" borderId="4" xfId="0" applyFont="1" applyBorder="1" applyAlignment="1">
      <alignment horizontal="left" vertical="top" wrapText="1"/>
    </xf>
    <xf numFmtId="0" fontId="11" fillId="0" borderId="4" xfId="0" applyFont="1" applyBorder="1" applyAlignment="1">
      <alignment wrapText="1"/>
    </xf>
    <xf numFmtId="164" fontId="7" fillId="0" borderId="4" xfId="0" applyNumberFormat="1" applyFont="1" applyBorder="1" applyAlignment="1">
      <alignment horizontal="left" vertical="top" wrapText="1"/>
    </xf>
    <xf numFmtId="2" fontId="28" fillId="0" borderId="4" xfId="0" applyNumberFormat="1" applyFont="1" applyBorder="1" applyAlignment="1">
      <alignment horizontal="center" vertical="top"/>
    </xf>
    <xf numFmtId="2" fontId="28" fillId="0" borderId="4" xfId="0" applyNumberFormat="1" applyFont="1" applyBorder="1" applyAlignment="1">
      <alignment vertical="top"/>
    </xf>
    <xf numFmtId="0" fontId="29" fillId="0" borderId="4" xfId="0" applyFont="1" applyBorder="1" applyAlignment="1">
      <alignment vertical="top" wrapText="1"/>
    </xf>
    <xf numFmtId="0" fontId="30" fillId="0" borderId="0" xfId="0" applyFont="1" applyAlignment="1">
      <alignment wrapText="1"/>
    </xf>
    <xf numFmtId="0" fontId="11" fillId="0" borderId="0" xfId="0" applyFont="1" applyAlignment="1">
      <alignment wrapText="1"/>
    </xf>
    <xf numFmtId="3" fontId="11" fillId="0" borderId="4" xfId="0" applyNumberFormat="1" applyFont="1" applyBorder="1" applyAlignment="1">
      <alignment horizontal="center" vertical="top"/>
    </xf>
    <xf numFmtId="4" fontId="11" fillId="0" borderId="4" xfId="0" applyNumberFormat="1" applyFont="1" applyBorder="1" applyAlignment="1">
      <alignment horizontal="center" vertical="top"/>
    </xf>
    <xf numFmtId="3" fontId="7" fillId="0" borderId="4" xfId="0" applyNumberFormat="1" applyFont="1" applyBorder="1" applyAlignment="1">
      <alignment horizontal="left" vertical="top" wrapText="1"/>
    </xf>
    <xf numFmtId="0" fontId="7" fillId="0" borderId="4" xfId="0" applyFont="1" applyBorder="1" applyAlignment="1">
      <alignment horizontal="center" vertical="center" wrapText="1"/>
    </xf>
    <xf numFmtId="166" fontId="31" fillId="0" borderId="4" xfId="0" applyNumberFormat="1" applyFont="1" applyBorder="1" applyAlignment="1">
      <alignment horizontal="center" vertical="center"/>
    </xf>
    <xf numFmtId="0" fontId="32" fillId="0" borderId="4" xfId="0" applyFont="1" applyBorder="1" applyAlignment="1">
      <alignment horizontal="center" vertical="center"/>
    </xf>
    <xf numFmtId="0" fontId="33" fillId="0" borderId="4" xfId="0" applyFont="1" applyBorder="1" applyAlignment="1">
      <alignment vertical="center" wrapText="1"/>
    </xf>
    <xf numFmtId="164" fontId="7" fillId="0" borderId="4" xfId="0" applyNumberFormat="1" applyFont="1" applyBorder="1" applyAlignment="1">
      <alignment horizontal="center" vertical="center" wrapText="1"/>
    </xf>
    <xf numFmtId="0" fontId="9" fillId="6" borderId="4" xfId="0" applyFont="1" applyFill="1" applyBorder="1" applyAlignment="1">
      <alignment horizontal="left"/>
    </xf>
    <xf numFmtId="3" fontId="9" fillId="6" borderId="6" xfId="0" applyNumberFormat="1" applyFont="1" applyFill="1" applyBorder="1" applyAlignment="1">
      <alignment horizontal="center" vertical="top"/>
    </xf>
    <xf numFmtId="0" fontId="9" fillId="6" borderId="6" xfId="0" applyFont="1" applyFill="1" applyBorder="1" applyAlignment="1">
      <alignment horizontal="left" wrapText="1"/>
    </xf>
    <xf numFmtId="2" fontId="28" fillId="0" borderId="0" xfId="0" applyNumberFormat="1" applyFont="1" applyAlignment="1">
      <alignment horizontal="center" vertical="top"/>
    </xf>
    <xf numFmtId="2" fontId="28" fillId="0" borderId="0" xfId="0" applyNumberFormat="1" applyFont="1" applyAlignment="1">
      <alignment vertical="top"/>
    </xf>
    <xf numFmtId="0" fontId="29" fillId="0" borderId="0" xfId="0" applyFont="1" applyAlignment="1">
      <alignment vertical="top" wrapText="1"/>
    </xf>
    <xf numFmtId="0" fontId="1" fillId="0" borderId="0" xfId="0" applyFont="1" applyAlignment="1">
      <alignment horizontal="center" vertical="center"/>
    </xf>
    <xf numFmtId="0" fontId="0" fillId="0" borderId="0" xfId="0"/>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teratech.com/" TargetMode="External"/><Relationship Id="rId2" Type="http://schemas.openxmlformats.org/officeDocument/2006/relationships/hyperlink" Target="https://www.equimport1000.com/MCO-595980430-torre-cpu-gamer-ryzen-3-3200g-vega-8-1tb-16gb-pc-_JM" TargetMode="External"/><Relationship Id="rId1" Type="http://schemas.openxmlformats.org/officeDocument/2006/relationships/hyperlink" Target="https://articulo.mercadolibre.com.co/MCO-999418729-torre-cpu-gamer-ryzen-7-5700g-vega-8-1tb-32gb-pc-_JM" TargetMode="External"/><Relationship Id="rId4" Type="http://schemas.openxmlformats.org/officeDocument/2006/relationships/hyperlink" Target="https://teratech.com.co/tienda/pc-gamer-flow-g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exito.com/monitor-lg-24gn65r-24-fhd-1ms-hdmi-dp-144hz-ultragear-gamer-102482668-mp/p?idsku=102482668&amp;srsltid=AfmBOoocqQHgPkE05mt46GqT32PyHGAESTTAnyBUQJ3wUm-ENpfCbcuT2kA" TargetMode="External"/><Relationship Id="rId1" Type="http://schemas.openxmlformats.org/officeDocument/2006/relationships/hyperlink" Target="https://www.alkosto.com/monitor-lg-gamer-24-pulgadas-24gn65r-negro/p/8806091985897"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alkosto.com/computador-portatil-lenovo-16-pulgadas-ideapad-slim-5-intel-core-i7-ram-16gb-disco-ssd-512gb-azul/p/196804767444?fuente=google&amp;medio=cpc&amp;campaign=AK_COL_MAX_PEF_CPC_AON_COMP_Lenovo_Oct19_EXP_OCT&amp;keyword=&amp;gad_source=1&amp;gclid=Cj0KCQjwlZixBhCoARIsAIC745BG7ibrQOh0lDsXFvujz_BYanDcR6VfmqIYmWGUpVWHuV6UbFrsxFsaAslBEALw_wcB" TargetMode="External"/><Relationship Id="rId2" Type="http://schemas.openxmlformats.org/officeDocument/2006/relationships/hyperlink" Target="https://www.falabella.com.co/falabella-co/product/120420028/Portatil-Lenovo-IdeaPad-Slim-5-Intel-Core-i7-16GB-1TB-14%E2%80%9D-Gris/120420029?kid=shopp0000030fc&amp;pid=Google_w2a&amp;gad_source=1&amp;gclid=Cj0KCQjwlZixBhCoARIsAIC745BfuJfblOdsKpeB94JO-9DGMWEZxGjll_vtW_oj5GU30M1pcpoj2sQaAnz7EALw_wcB" TargetMode="External"/><Relationship Id="rId1" Type="http://schemas.openxmlformats.org/officeDocument/2006/relationships/hyperlink" Target="https://www.exito.com/computador-lenovo-ideapad-slim-5-intel-core-i7-10-nucleos-16-gb-ram-512-gb-ssd-3138175/p?idsku=3446423&amp;gad_source=1&amp;gclid=Cj0KCQjwlZixBhCoARIsAIC745Dh6C_uuKTzduRFcL2TQAO8UrbIr-9rGuNF47FwZRsNtougDNjPAqsaAr62EALw_wcB&amp;gclsrc=aw.d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daddy.com/es/offers/hosting?isc=cohosgon1&amp;currencyType=COP&amp;countryview=1&amp;cdtl=c_19915533298.g_148413459355.k_kwd-302853133.a_652983093049.d_c.ctv_g&amp;bnb=b&amp;gad_source=1&amp;gclid=Cj0KCQjwlZixBhCoARIsAIC745ANSshU5NmnjVTw6v7FJDKFL7x-z_vzYIRg4ZYJl_RLdPuU_qVyZzwaAuDeEALw_wcB" TargetMode="External"/><Relationship Id="rId1" Type="http://schemas.openxmlformats.org/officeDocument/2006/relationships/hyperlink" Target="https://www.latinoamericahosting.com.co/?gad_source=1&amp;gclid=Cj0KCQjwlZixBhCoARIsAIC745CKhM7mdb3z19253A4CPWfHwqfrlEGpizYB9QKqV3qrQNuSj4LXfvYaAqXFEALw_wcB"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latinoamericahosting.com.co/dominios/" TargetMode="External"/><Relationship Id="rId1" Type="http://schemas.openxmlformats.org/officeDocument/2006/relationships/hyperlink" Target="https://www.hostinger.co/comprar-dominio"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alkosto.com/marcas/microsoft/office-365/c/office-365?fuente=google&amp;medio=cpc&amp;campaign=AK_COL_DSA_PEF_CPC_CT_AON_COMP_TLP_Computadores-Category-AON_PAC&amp;keyword=&amp;gad_source=1&amp;gclid=Cj0KCQjwlZixBhCoARIsAIC745C_7Es8Ca2J1Cz3vzP7MNNqF9gA_ig4u8sYAy_4VZAKlDdfVCrUgnQaAtKsEALw_wcB" TargetMode="External"/><Relationship Id="rId2" Type="http://schemas.openxmlformats.org/officeDocument/2006/relationships/hyperlink" Target="https://mac-center.com/products/licencia-office-365-familia-licencia-hasta-6-usuarios-1-ano?variant=43448694309014&amp;currency=COP&amp;utm_medium=product_sync&amp;utm_source=google&amp;utm_content=sag_organic&amp;utm_campaign=sag_organic&amp;gad_source=1&amp;gclid=Cj0KCQjwlZixBhCoARIsAIC745CptyjO5Ds0ww1IbvyyUK99GfgrX6w6CRe8KGq8G70QfXTTKyTxZOwaAjsZEALw_wcB" TargetMode="External"/><Relationship Id="rId1" Type="http://schemas.openxmlformats.org/officeDocument/2006/relationships/hyperlink" Target="https://n9.cl/cfstzi"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alkosto.com/teclado-esenses-inalambrico-negro/p/7707278177542" TargetMode="External"/><Relationship Id="rId2" Type="http://schemas.openxmlformats.org/officeDocument/2006/relationships/hyperlink" Target="https://www.exito.com/teclado-genius-usb-smart-kb100-negro-con-letra-n-100052662-mp/p" TargetMode="External"/><Relationship Id="rId1" Type="http://schemas.openxmlformats.org/officeDocument/2006/relationships/hyperlink" Target="https://www.falabella.com.co/falabella-co/product/72859709/Teclado-Inalambrico-HP-USB-220-(805T2AA)/72859709"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alkosto.com/mouse-hp-alambrico-optico-100-negro/p/193905461370" TargetMode="External"/><Relationship Id="rId2" Type="http://schemas.openxmlformats.org/officeDocument/2006/relationships/hyperlink" Target="https://www.exito.com/mouse-optico-alambrico-esenses-om-20-637800/p" TargetMode="External"/><Relationship Id="rId1" Type="http://schemas.openxmlformats.org/officeDocument/2006/relationships/hyperlink" Target="https://acortar.link/bwm91u"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clarosoluciones.com/soluciones?tsource=negocios_bogota_internet_dedicado_generico_16288601&amp;zone=bogota&amp;gad_source=1&amp;gclid=Cj0KCQjwlZixBhCoARIsAIC745D3ejnb73f8GJo7xblAqpvkX9e3bkbRglHGXEK4XVgFiPEOzdwCMEQaAmepEALw_wcB" TargetMode="External"/><Relationship Id="rId2" Type="http://schemas.openxmlformats.org/officeDocument/2006/relationships/hyperlink" Target="https://n9.cl/adaws" TargetMode="External"/><Relationship Id="rId1" Type="http://schemas.openxmlformats.org/officeDocument/2006/relationships/hyperlink" Target="https://n9.cl/u2pa8"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oracle.com/co/database/nosql/pricing/" TargetMode="External"/><Relationship Id="rId2" Type="http://schemas.openxmlformats.org/officeDocument/2006/relationships/hyperlink" Target="https://www.scaleway.com/en/" TargetMode="External"/><Relationship Id="rId1" Type="http://schemas.openxmlformats.org/officeDocument/2006/relationships/hyperlink" Target="https://www.mongodb.com/es/pricing"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visualstudio.microsoft.com/es/vs/pricing/?tab=business" TargetMode="External"/><Relationship Id="rId2" Type="http://schemas.openxmlformats.org/officeDocument/2006/relationships/hyperlink" Target="https://n9.cl/81eqn" TargetMode="External"/><Relationship Id="rId1" Type="http://schemas.openxmlformats.org/officeDocument/2006/relationships/hyperlink" Target="https://www.sublimehq.com/store/text"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elements.envato.com/es/pricing" TargetMode="External"/><Relationship Id="rId2" Type="http://schemas.openxmlformats.org/officeDocument/2006/relationships/hyperlink" Target="https://placeit.net/" TargetMode="External"/><Relationship Id="rId1" Type="http://schemas.openxmlformats.org/officeDocument/2006/relationships/hyperlink" Target="https://balsamiq.com/buy/"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avast.com/es-co/lp-aff-consumer-business-store-page?utm_medium=affiliate&amp;utm_source=commissionjunction&amp;utm_campaign=8950379&amp;utm_content=15294783&amp;couponfield=yes&amp;cjevent=a78f6f315b768c3de259b20f090a68f407ecd1e31f21f7f67&amp;trafficSource=affiliate&amp;partnerid=8950379&amp;programtype=CJ&amp;clickID=0d26e5a300ea11ef838c1dd70a82b82d&amp;cjid=8950379" TargetMode="External"/><Relationship Id="rId2" Type="http://schemas.openxmlformats.org/officeDocument/2006/relationships/hyperlink" Target="https://www.mcafee.com/consumer/es-co/landing-page/direct/aff/mtp-family/desktop/mcafee-total-protection.html?affid=1494&amp;pkg_id=535&amp;culture=es-co&amp;SID=pzcum2mpkf.3&amp;cjevent=0cfcd8f200ea11ef817303a60a82b832&amp;csrc=cj&amp;csrcl2=Webselenese+Ltd&amp;ccoe=direct&amp;ccoel2=am&amp;CID=242013&amp;PID=8950379&amp;ccstype=partnerlinks_0cfcd8f200ea11ef817303a60a82b832&amp;prgt=a" TargetMode="External"/><Relationship Id="rId1" Type="http://schemas.openxmlformats.org/officeDocument/2006/relationships/hyperlink" Target="https://co.norton.com/products?SID=pzcum2mpkf.2&amp;cjid=8950379&amp;clickid=0d39aa5400ea11ef838c1dd70a82b82d&amp;af_sub4=aff&amp;af_sub5=CJ&amp;c=CJ&amp;cjevent=0d39aa5400ea11ef838c1dd70a82b82d"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exito.com/monitor-lg-24gn65r-24-fhd-1ms-hdmi-dp-144hz-ultragear-gamer-102482668-mp/p?idsku=102482668&amp;srsltid=AfmBOoocqQHgPkE05mt46GqT32PyHGAESTTAnyBUQJ3wUm-ENpfCbcuT2kA" TargetMode="External"/><Relationship Id="rId1" Type="http://schemas.openxmlformats.org/officeDocument/2006/relationships/hyperlink" Target="https://www.alkosto.com/monitor-lg-gamer-24-pulgadas-24gn65r-negro/p/8806091985897"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www.godaddy.com/es/offers/hosting?isc=cohosgon1&amp;currencyType=COP&amp;countryview=1&amp;cdtl=c_19915533298.g_148413459355.k_kwd-302853133.a_652983093049.d_c.ctv_g&amp;bnb=b&amp;gad_source=1&amp;gclid=Cj0KCQjwlZixBhCoARIsAIC745ANSshU5NmnjVTw6v7FJDKFL7x-z_vzYIRg4ZYJl_RLdPuU_qVyZzwaAuDeEALw_wcB" TargetMode="External"/><Relationship Id="rId1" Type="http://schemas.openxmlformats.org/officeDocument/2006/relationships/hyperlink" Target="https://www.latinoamericahosting.com.co/?gad_source=1&amp;gclid=Cj0KCQjwlZixBhCoARIsAIC745CKhM7mdb3z19253A4CPWfHwqfrlEGpizYB9QKqV3qrQNuSj4LXfvYaAqXFEALw_wcB"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www.latinoamericahosting.com.co/dominios/" TargetMode="External"/><Relationship Id="rId1" Type="http://schemas.openxmlformats.org/officeDocument/2006/relationships/hyperlink" Target="https://www.hostinger.co/comprar-dominio"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alkosto.com/marcas/microsoft/office-365/c/office-365?fuente=google&amp;medio=cpc&amp;campaign=AK_COL_DSA_PEF_CPC_CT_AON_COMP_TLP_Computadores-Category-AON_PAC&amp;keyword=&amp;gad_source=1&amp;gclid=Cj0KCQjwlZixBhCoARIsAIC745C_7Es8Ca2J1Cz3vzP7MNNqF9gA_ig4u8sYAy_4VZAKlDdfVCrUgnQaAtKsEALw_wcB" TargetMode="External"/><Relationship Id="rId2" Type="http://schemas.openxmlformats.org/officeDocument/2006/relationships/hyperlink" Target="https://mac-center.com/products/licencia-office-365-familia-licencia-hasta-6-usuarios-1-ano?variant=43448694309014&amp;currency=COP&amp;utm_medium=product_sync&amp;utm_source=google&amp;utm_content=sag_organic&amp;utm_campaign=sag_organic&amp;gad_source=1&amp;gclid=Cj0KCQjwlZixBhCoARIsAIC745CptyjO5Ds0ww1IbvyyUK99GfgrX6w6CRe8KGq8G70QfXTTKyTxZOwaAjsZEALw_wcB" TargetMode="External"/><Relationship Id="rId1" Type="http://schemas.openxmlformats.org/officeDocument/2006/relationships/hyperlink" Target="https://n9.cl/cfstzi"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alkosto.com/teclado-esenses-inalambrico-negro/p/7707278177542" TargetMode="External"/><Relationship Id="rId2" Type="http://schemas.openxmlformats.org/officeDocument/2006/relationships/hyperlink" Target="https://www.exito.com/teclado-genius-usb-smart-kb100-negro-con-letra-n-100052662-mp/p" TargetMode="External"/><Relationship Id="rId1" Type="http://schemas.openxmlformats.org/officeDocument/2006/relationships/hyperlink" Target="https://www.falabella.com.co/falabella-co/product/72859709/Teclado-Inalambrico-HP-USB-220-(805T2AA)/72859709"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www.alkosto.com/mouse-hp-alambrico-optico-100-negro/p/193905461370" TargetMode="External"/><Relationship Id="rId2" Type="http://schemas.openxmlformats.org/officeDocument/2006/relationships/hyperlink" Target="https://www.exito.com/mouse-optico-alambrico-esenses-om-20-637800/p" TargetMode="External"/><Relationship Id="rId1" Type="http://schemas.openxmlformats.org/officeDocument/2006/relationships/hyperlink" Target="https://acortar.link/bwm91u"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clarosoluciones.com/soluciones?tsource=negocios_bogota_internet_dedicado_generico_16288601&amp;zone=bogota&amp;gad_source=1&amp;gclid=Cj0KCQjwlZixBhCoARIsAIC745D3ejnb73f8GJo7xblAqpvkX9e3bkbRglHGXEK4XVgFiPEOzdwCMEQaAmepEALw_wcB" TargetMode="External"/><Relationship Id="rId2" Type="http://schemas.openxmlformats.org/officeDocument/2006/relationships/hyperlink" Target="https://n9.cl/adaws" TargetMode="External"/><Relationship Id="rId1" Type="http://schemas.openxmlformats.org/officeDocument/2006/relationships/hyperlink" Target="https://n9.cl/u2pa8"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oracle.com/co/database/nosql/pricing/" TargetMode="External"/><Relationship Id="rId2" Type="http://schemas.openxmlformats.org/officeDocument/2006/relationships/hyperlink" Target="https://www.scaleway.com/en/" TargetMode="External"/><Relationship Id="rId1" Type="http://schemas.openxmlformats.org/officeDocument/2006/relationships/hyperlink" Target="https://www.mongodb.com/es/pricing"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visualstudio.microsoft.com/es/vs/pricing/?tab=business" TargetMode="External"/><Relationship Id="rId2" Type="http://schemas.openxmlformats.org/officeDocument/2006/relationships/hyperlink" Target="https://n9.cl/81eqn" TargetMode="External"/><Relationship Id="rId1" Type="http://schemas.openxmlformats.org/officeDocument/2006/relationships/hyperlink" Target="https://www.sublimehq.com/store/text"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elements.envato.com/es/pricing" TargetMode="External"/><Relationship Id="rId2" Type="http://schemas.openxmlformats.org/officeDocument/2006/relationships/hyperlink" Target="https://placeit.net/" TargetMode="External"/><Relationship Id="rId1" Type="http://schemas.openxmlformats.org/officeDocument/2006/relationships/hyperlink" Target="https://balsamiq.com/buy/"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www.avast.com/es-co/lp-aff-consumer-business-store-page?utm_medium=affiliate&amp;utm_source=commissionjunction&amp;utm_campaign=8950379&amp;utm_content=15294783&amp;couponfield=yes&amp;cjevent=a78f6f315b768c3de259b20f090a68f407ecd1e31f21f7f67&amp;trafficSource=affiliate&amp;partnerid=8950379&amp;programtype=CJ&amp;clickID=0d26e5a300ea11ef838c1dd70a82b82d&amp;cjid=8950379" TargetMode="External"/><Relationship Id="rId2" Type="http://schemas.openxmlformats.org/officeDocument/2006/relationships/hyperlink" Target="https://www.mcafee.com/consumer/es-co/landing-page/direct/aff/mtp-family/desktop/mcafee-total-protection.html?affid=1494&amp;pkg_id=535&amp;culture=es-co&amp;SID=pzcum2mpkf.3&amp;cjevent=0cfcd8f200ea11ef817303a60a82b832&amp;csrc=cj&amp;csrcl2=Webselenese+Ltd&amp;ccoe=direct&amp;ccoel2=am&amp;CID=242013&amp;PID=8950379&amp;ccstype=partnerlinks_0cfcd8f200ea11ef817303a60a82b832&amp;prgt=a" TargetMode="External"/><Relationship Id="rId1" Type="http://schemas.openxmlformats.org/officeDocument/2006/relationships/hyperlink" Target="https://co.norton.com/products?SID=pzcum2mpkf.2&amp;cjid=8950379&amp;clickid=0d39aa5400ea11ef838c1dd70a82b82d&amp;af_sub4=aff&amp;af_sub5=CJ&amp;c=CJ&amp;cjevent=0d39aa5400ea11ef838c1dd70a82b82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9"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29" customHeight="1">
      <c r="A8" s="7" t="s">
        <v>12</v>
      </c>
      <c r="B8" s="8" t="s">
        <v>13</v>
      </c>
      <c r="C8" s="9" t="s">
        <v>14</v>
      </c>
      <c r="D8" s="8" t="s">
        <v>15</v>
      </c>
      <c r="E8" s="10">
        <v>2204910</v>
      </c>
      <c r="F8" s="11">
        <v>0</v>
      </c>
      <c r="G8" s="11">
        <f t="shared" ref="G8:G10" si="0">E8+F8</f>
        <v>2204910</v>
      </c>
      <c r="H8" s="11">
        <f t="shared" ref="H8:H10" si="1">G8</f>
        <v>2204910</v>
      </c>
      <c r="I8" s="8" t="s">
        <v>16</v>
      </c>
      <c r="J8" s="8" t="s">
        <v>17</v>
      </c>
    </row>
    <row r="9" spans="1:26" ht="145.5" customHeight="1">
      <c r="A9" s="7" t="s">
        <v>18</v>
      </c>
      <c r="B9" s="8" t="s">
        <v>19</v>
      </c>
      <c r="C9" s="12" t="s">
        <v>20</v>
      </c>
      <c r="D9" s="8" t="s">
        <v>21</v>
      </c>
      <c r="E9" s="11">
        <v>2294915</v>
      </c>
      <c r="F9" s="11">
        <v>0</v>
      </c>
      <c r="G9" s="11">
        <f t="shared" si="0"/>
        <v>2294915</v>
      </c>
      <c r="H9" s="11">
        <f t="shared" si="1"/>
        <v>2294915</v>
      </c>
      <c r="I9" s="8" t="s">
        <v>22</v>
      </c>
      <c r="J9" s="8" t="s">
        <v>23</v>
      </c>
    </row>
    <row r="10" spans="1:26" ht="90" customHeight="1">
      <c r="A10" s="7" t="s">
        <v>24</v>
      </c>
      <c r="B10" s="12" t="s">
        <v>25</v>
      </c>
      <c r="C10" s="9" t="s">
        <v>26</v>
      </c>
      <c r="D10" s="13" t="s">
        <v>27</v>
      </c>
      <c r="E10" s="11">
        <v>8820000</v>
      </c>
      <c r="F10" s="11">
        <v>0</v>
      </c>
      <c r="G10" s="11">
        <f t="shared" si="0"/>
        <v>8820000</v>
      </c>
      <c r="H10" s="11">
        <f t="shared" si="1"/>
        <v>8820000</v>
      </c>
      <c r="I10" s="13" t="s">
        <v>28</v>
      </c>
      <c r="J10" s="14" t="s">
        <v>29</v>
      </c>
    </row>
    <row r="11" spans="1:26" ht="15" hidden="1" customHeight="1">
      <c r="A11" s="15"/>
      <c r="B11" s="13"/>
      <c r="C11" s="13" t="s">
        <v>30</v>
      </c>
      <c r="D11" s="13"/>
      <c r="E11" s="13"/>
      <c r="F11" s="13"/>
      <c r="G11" s="13"/>
      <c r="H11" s="13"/>
      <c r="I11" s="13"/>
      <c r="J11" s="13"/>
    </row>
    <row r="12" spans="1:26" ht="12.75" customHeight="1"/>
    <row r="13" spans="1:26" ht="138.75" customHeight="1">
      <c r="A13" s="73" t="s">
        <v>31</v>
      </c>
      <c r="B13" s="71"/>
      <c r="C13" s="71"/>
      <c r="D13" s="71"/>
      <c r="E13" s="71"/>
      <c r="F13" s="71"/>
      <c r="G13" s="71"/>
      <c r="H13" s="71"/>
      <c r="I13" s="71"/>
      <c r="J13" s="72"/>
    </row>
    <row r="14" spans="1:26" ht="12.75" customHeight="1"/>
    <row r="15" spans="1:26" ht="75" customHeight="1">
      <c r="A15" s="73" t="s">
        <v>32</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000-000000000000}"/>
    <hyperlink ref="C9" r:id="rId2" xr:uid="{00000000-0004-0000-0000-000001000000}"/>
    <hyperlink ref="B10" r:id="rId3" xr:uid="{00000000-0004-0000-0000-000002000000}"/>
    <hyperlink ref="C10" r:id="rId4" xr:uid="{00000000-0004-0000-0000-000003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2.5703125" defaultRowHeight="15" customHeight="1"/>
  <cols>
    <col min="1" max="3" width="19.140625" customWidth="1"/>
    <col min="4" max="4" width="25.85546875" customWidth="1"/>
    <col min="5" max="6" width="17" customWidth="1"/>
    <col min="7" max="7" width="18" customWidth="1"/>
    <col min="8" max="8" width="17" customWidth="1"/>
    <col min="9" max="9" width="19.140625" customWidth="1"/>
    <col min="10" max="10" width="21.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33</v>
      </c>
      <c r="C7" s="2" t="s">
        <v>34</v>
      </c>
      <c r="D7" s="2" t="s">
        <v>35</v>
      </c>
      <c r="E7" s="2" t="s">
        <v>36</v>
      </c>
      <c r="F7" s="3" t="s">
        <v>37</v>
      </c>
      <c r="G7" s="4" t="s">
        <v>38</v>
      </c>
      <c r="H7" s="5" t="s">
        <v>9</v>
      </c>
      <c r="I7" s="2" t="s">
        <v>39</v>
      </c>
      <c r="J7" s="2" t="s">
        <v>40</v>
      </c>
      <c r="K7" s="6"/>
      <c r="L7" s="6"/>
      <c r="M7" s="6"/>
      <c r="N7" s="6"/>
      <c r="O7" s="6"/>
      <c r="P7" s="6"/>
      <c r="Q7" s="6"/>
      <c r="R7" s="6"/>
      <c r="S7" s="6"/>
      <c r="T7" s="6"/>
      <c r="U7" s="6"/>
      <c r="V7" s="6"/>
      <c r="W7" s="6"/>
      <c r="X7" s="6"/>
      <c r="Y7" s="6"/>
      <c r="Z7" s="6"/>
    </row>
    <row r="8" spans="1:26" ht="199.5" customHeight="1">
      <c r="A8" s="7" t="s">
        <v>12</v>
      </c>
      <c r="B8" s="8" t="s">
        <v>41</v>
      </c>
      <c r="C8" s="8" t="s">
        <v>42</v>
      </c>
      <c r="D8" s="8" t="s">
        <v>43</v>
      </c>
      <c r="E8" s="11">
        <v>749900</v>
      </c>
      <c r="F8" s="11">
        <v>0</v>
      </c>
      <c r="G8" s="11">
        <f t="shared" ref="G8:G10" si="0">E8+F8</f>
        <v>749900</v>
      </c>
      <c r="H8" s="11">
        <f t="shared" ref="H8:H10" si="1">G8</f>
        <v>749900</v>
      </c>
      <c r="I8" s="8" t="s">
        <v>22</v>
      </c>
      <c r="J8" s="8" t="s">
        <v>44</v>
      </c>
    </row>
    <row r="9" spans="1:26" ht="88.5" customHeight="1">
      <c r="A9" s="7" t="s">
        <v>18</v>
      </c>
      <c r="B9" s="8" t="s">
        <v>45</v>
      </c>
      <c r="C9" s="18" t="s">
        <v>46</v>
      </c>
      <c r="D9" s="8" t="s">
        <v>47</v>
      </c>
      <c r="E9" s="11">
        <v>749900</v>
      </c>
      <c r="F9" s="11">
        <v>0</v>
      </c>
      <c r="G9" s="11">
        <f t="shared" si="0"/>
        <v>749900</v>
      </c>
      <c r="H9" s="11">
        <f t="shared" si="1"/>
        <v>749900</v>
      </c>
      <c r="I9" s="8" t="s">
        <v>48</v>
      </c>
      <c r="J9" s="8" t="s">
        <v>49</v>
      </c>
    </row>
    <row r="10" spans="1:26" ht="338.25" customHeight="1">
      <c r="A10" s="7" t="s">
        <v>24</v>
      </c>
      <c r="B10" s="8" t="s">
        <v>50</v>
      </c>
      <c r="C10" s="19" t="s">
        <v>51</v>
      </c>
      <c r="D10" s="8" t="s">
        <v>52</v>
      </c>
      <c r="E10" s="11">
        <v>861900</v>
      </c>
      <c r="F10" s="20">
        <v>0</v>
      </c>
      <c r="G10" s="11">
        <f t="shared" si="0"/>
        <v>861900</v>
      </c>
      <c r="H10" s="11">
        <f t="shared" si="1"/>
        <v>861900</v>
      </c>
      <c r="I10" s="8" t="s">
        <v>22</v>
      </c>
      <c r="J10" s="8" t="s">
        <v>53</v>
      </c>
    </row>
    <row r="11" spans="1:26" ht="15" hidden="1" customHeight="1">
      <c r="A11" s="15"/>
      <c r="B11" s="13"/>
      <c r="C11" s="13"/>
      <c r="D11" s="13" t="s">
        <v>54</v>
      </c>
      <c r="E11" s="13"/>
      <c r="F11" s="13"/>
      <c r="G11" s="13"/>
      <c r="H11" s="13"/>
      <c r="I11" s="13"/>
      <c r="J11" s="13"/>
    </row>
    <row r="12" spans="1:26" ht="20.25" customHeight="1"/>
    <row r="13" spans="1:26" ht="138.75" customHeight="1">
      <c r="A13" s="73" t="s">
        <v>55</v>
      </c>
      <c r="B13" s="71"/>
      <c r="C13" s="71"/>
      <c r="D13" s="71"/>
      <c r="E13" s="71"/>
      <c r="F13" s="71"/>
      <c r="G13" s="71"/>
      <c r="H13" s="71"/>
      <c r="I13" s="71"/>
      <c r="J13" s="72"/>
    </row>
    <row r="14" spans="1:26" ht="12.75" customHeight="1"/>
    <row r="15" spans="1:26" ht="75" customHeight="1">
      <c r="A15" s="73" t="s">
        <v>56</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9" r:id="rId1" xr:uid="{00000000-0004-0000-0100-000000000000}"/>
    <hyperlink ref="C10" r:id="rId2" xr:uid="{00000000-0004-0000-0100-00000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2.5703125" defaultRowHeight="15" customHeight="1"/>
  <cols>
    <col min="1" max="1" width="19.140625" customWidth="1"/>
    <col min="2" max="2" width="22.28515625" customWidth="1"/>
    <col min="3" max="3" width="58.85546875" customWidth="1"/>
    <col min="4" max="4" width="34.28515625" customWidth="1"/>
    <col min="5" max="6" width="17" customWidth="1"/>
    <col min="7" max="7" width="18" customWidth="1"/>
    <col min="8" max="8" width="17" customWidth="1"/>
    <col min="9" max="9" width="19.140625" customWidth="1"/>
    <col min="10" max="10" width="21.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57</v>
      </c>
      <c r="C7" s="2" t="s">
        <v>58</v>
      </c>
      <c r="D7" s="2" t="s">
        <v>59</v>
      </c>
      <c r="E7" s="2" t="s">
        <v>60</v>
      </c>
      <c r="F7" s="3" t="s">
        <v>61</v>
      </c>
      <c r="G7" s="4" t="s">
        <v>62</v>
      </c>
      <c r="H7" s="5" t="s">
        <v>9</v>
      </c>
      <c r="I7" s="2" t="s">
        <v>63</v>
      </c>
      <c r="J7" s="2" t="s">
        <v>64</v>
      </c>
      <c r="K7" s="6"/>
      <c r="L7" s="6"/>
      <c r="M7" s="6"/>
      <c r="N7" s="6"/>
      <c r="O7" s="6"/>
      <c r="P7" s="6"/>
      <c r="Q7" s="6"/>
      <c r="R7" s="6"/>
      <c r="S7" s="6"/>
      <c r="T7" s="6"/>
      <c r="U7" s="6"/>
      <c r="V7" s="6"/>
      <c r="W7" s="6"/>
      <c r="X7" s="6"/>
      <c r="Y7" s="6"/>
      <c r="Z7" s="6"/>
    </row>
    <row r="8" spans="1:26" ht="228" customHeight="1">
      <c r="A8" s="7" t="s">
        <v>12</v>
      </c>
      <c r="B8" s="8" t="s">
        <v>65</v>
      </c>
      <c r="C8" s="12" t="s">
        <v>66</v>
      </c>
      <c r="D8" s="8" t="s">
        <v>67</v>
      </c>
      <c r="E8" s="11">
        <f t="shared" ref="E8:E9" si="0">H8</f>
        <v>3558870</v>
      </c>
      <c r="F8" s="21">
        <v>0</v>
      </c>
      <c r="G8" s="11">
        <f>F8+E8</f>
        <v>3558870</v>
      </c>
      <c r="H8" s="22">
        <v>3558870</v>
      </c>
      <c r="I8" s="8" t="s">
        <v>22</v>
      </c>
      <c r="J8" s="8" t="s">
        <v>23</v>
      </c>
    </row>
    <row r="9" spans="1:26" ht="99.75" customHeight="1">
      <c r="A9" s="7" t="s">
        <v>18</v>
      </c>
      <c r="B9" s="8" t="s">
        <v>68</v>
      </c>
      <c r="C9" s="23" t="s">
        <v>69</v>
      </c>
      <c r="D9" s="8" t="s">
        <v>70</v>
      </c>
      <c r="E9" s="11">
        <f t="shared" si="0"/>
        <v>3999900</v>
      </c>
      <c r="F9" s="11">
        <v>0</v>
      </c>
      <c r="G9" s="11">
        <f t="shared" ref="G9:G10" si="1">SUM(E9:F9)</f>
        <v>3999900</v>
      </c>
      <c r="H9" s="11">
        <v>3999900</v>
      </c>
      <c r="I9" s="8" t="s">
        <v>48</v>
      </c>
      <c r="J9" s="8" t="s">
        <v>71</v>
      </c>
    </row>
    <row r="10" spans="1:26" ht="182.25" customHeight="1">
      <c r="A10" s="7" t="s">
        <v>24</v>
      </c>
      <c r="B10" s="8" t="s">
        <v>45</v>
      </c>
      <c r="C10" s="12" t="s">
        <v>72</v>
      </c>
      <c r="D10" s="8" t="s">
        <v>73</v>
      </c>
      <c r="E10" s="11">
        <v>3599000</v>
      </c>
      <c r="F10" s="10">
        <v>0</v>
      </c>
      <c r="G10" s="11">
        <f t="shared" si="1"/>
        <v>3599000</v>
      </c>
      <c r="H10" s="10">
        <f>G10</f>
        <v>3599000</v>
      </c>
      <c r="I10" s="8" t="s">
        <v>22</v>
      </c>
      <c r="J10" s="8" t="s">
        <v>74</v>
      </c>
    </row>
    <row r="11" spans="1:26" ht="15" hidden="1" customHeight="1">
      <c r="A11" s="15"/>
      <c r="B11" s="13"/>
      <c r="C11" s="13"/>
      <c r="D11" s="13" t="s">
        <v>54</v>
      </c>
      <c r="E11" s="13"/>
      <c r="F11" s="13"/>
      <c r="G11" s="13"/>
      <c r="H11" s="13"/>
      <c r="I11" s="13"/>
      <c r="J11" s="13"/>
    </row>
    <row r="12" spans="1:26" ht="20.25" customHeight="1"/>
    <row r="13" spans="1:26" ht="138.75" customHeight="1">
      <c r="A13" s="73" t="s">
        <v>75</v>
      </c>
      <c r="B13" s="71"/>
      <c r="C13" s="71"/>
      <c r="D13" s="71"/>
      <c r="E13" s="71"/>
      <c r="F13" s="71"/>
      <c r="G13" s="71"/>
      <c r="H13" s="71"/>
      <c r="I13" s="71"/>
      <c r="J13" s="72"/>
    </row>
    <row r="14" spans="1:26" ht="12.75" customHeight="1"/>
    <row r="15" spans="1:26" ht="75" customHeight="1">
      <c r="A15" s="73" t="s">
        <v>76</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200-000000000000}"/>
    <hyperlink ref="C9" r:id="rId2" xr:uid="{00000000-0004-0000-0200-000001000000}"/>
    <hyperlink ref="C10" r:id="rId3" xr:uid="{00000000-0004-0000-0200-000002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2.5703125" defaultRowHeight="15" customHeight="1"/>
  <cols>
    <col min="1" max="2" width="19.140625" customWidth="1"/>
    <col min="3" max="3" width="21.42578125" customWidth="1"/>
    <col min="4" max="4" width="21.85546875" customWidth="1"/>
    <col min="5" max="6" width="17" customWidth="1"/>
    <col min="7" max="7" width="18" customWidth="1"/>
    <col min="8" max="8" width="17" customWidth="1"/>
    <col min="9" max="9" width="19.140625" customWidth="1"/>
    <col min="10" max="10" width="33.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77</v>
      </c>
      <c r="C7" s="2" t="s">
        <v>78</v>
      </c>
      <c r="D7" s="2" t="s">
        <v>79</v>
      </c>
      <c r="E7" s="2" t="s">
        <v>80</v>
      </c>
      <c r="F7" s="3" t="s">
        <v>81</v>
      </c>
      <c r="G7" s="4" t="s">
        <v>82</v>
      </c>
      <c r="H7" s="5" t="s">
        <v>9</v>
      </c>
      <c r="I7" s="2" t="s">
        <v>83</v>
      </c>
      <c r="J7" s="2" t="s">
        <v>84</v>
      </c>
      <c r="K7" s="6"/>
      <c r="L7" s="6"/>
      <c r="M7" s="6"/>
      <c r="N7" s="6"/>
      <c r="O7" s="6"/>
      <c r="P7" s="6"/>
      <c r="Q7" s="6"/>
      <c r="R7" s="6"/>
      <c r="S7" s="6"/>
      <c r="T7" s="6"/>
      <c r="U7" s="6"/>
      <c r="V7" s="6"/>
      <c r="W7" s="6"/>
      <c r="X7" s="6"/>
      <c r="Y7" s="6"/>
      <c r="Z7" s="6"/>
    </row>
    <row r="8" spans="1:26" ht="132.75" customHeight="1">
      <c r="A8" s="7" t="s">
        <v>12</v>
      </c>
      <c r="B8" s="8" t="s">
        <v>85</v>
      </c>
      <c r="C8" s="24" t="s">
        <v>86</v>
      </c>
      <c r="D8" s="8" t="s">
        <v>87</v>
      </c>
      <c r="E8" s="11">
        <v>300000</v>
      </c>
      <c r="F8" s="25">
        <v>0</v>
      </c>
      <c r="G8" s="26">
        <f>E8+F8</f>
        <v>300000</v>
      </c>
      <c r="H8" s="25">
        <f>G8</f>
        <v>300000</v>
      </c>
      <c r="I8" s="8" t="s">
        <v>22</v>
      </c>
      <c r="J8" s="27" t="s">
        <v>88</v>
      </c>
    </row>
    <row r="9" spans="1:26" ht="160.5" customHeight="1">
      <c r="A9" s="7" t="s">
        <v>18</v>
      </c>
      <c r="B9" s="8" t="s">
        <v>89</v>
      </c>
      <c r="C9" s="28" t="s">
        <v>90</v>
      </c>
      <c r="D9" s="13" t="s">
        <v>91</v>
      </c>
      <c r="E9" s="11" t="s">
        <v>92</v>
      </c>
      <c r="F9" s="10">
        <v>0</v>
      </c>
      <c r="G9" s="26" t="s">
        <v>93</v>
      </c>
      <c r="H9" s="25">
        <f>119.88*3918.4500333667</f>
        <v>469743.79</v>
      </c>
      <c r="I9" s="13" t="s">
        <v>94</v>
      </c>
      <c r="J9" s="29" t="s">
        <v>95</v>
      </c>
    </row>
    <row r="10" spans="1:26" ht="92.25" customHeight="1">
      <c r="A10" s="7" t="s">
        <v>24</v>
      </c>
      <c r="B10" s="8" t="s">
        <v>96</v>
      </c>
      <c r="C10" s="13" t="s">
        <v>97</v>
      </c>
      <c r="D10" s="13" t="s">
        <v>98</v>
      </c>
      <c r="E10" s="26">
        <v>371700</v>
      </c>
      <c r="F10" s="25">
        <v>0</v>
      </c>
      <c r="G10" s="30">
        <f>E10+F10</f>
        <v>371700</v>
      </c>
      <c r="H10" s="31">
        <f>G10</f>
        <v>371700</v>
      </c>
      <c r="I10" s="13" t="s">
        <v>94</v>
      </c>
      <c r="J10" s="29" t="s">
        <v>99</v>
      </c>
    </row>
    <row r="11" spans="1:26" ht="15" hidden="1" customHeight="1">
      <c r="A11" s="15"/>
      <c r="B11" s="13"/>
      <c r="C11" s="13"/>
      <c r="D11" s="13"/>
      <c r="E11" s="13"/>
      <c r="F11" s="13"/>
      <c r="G11" s="13"/>
      <c r="H11" s="13"/>
      <c r="I11" s="13"/>
      <c r="J11" s="32" t="s">
        <v>100</v>
      </c>
    </row>
    <row r="12" spans="1:26" ht="12.75" customHeight="1"/>
    <row r="13" spans="1:26" ht="138.75" customHeight="1">
      <c r="A13" s="73" t="s">
        <v>101</v>
      </c>
      <c r="B13" s="71"/>
      <c r="C13" s="71"/>
      <c r="D13" s="71"/>
      <c r="E13" s="71"/>
      <c r="F13" s="71"/>
      <c r="G13" s="71"/>
      <c r="H13" s="71"/>
      <c r="I13" s="71"/>
      <c r="J13" s="72"/>
    </row>
    <row r="14" spans="1:26" ht="12.75" customHeight="1"/>
    <row r="15" spans="1:26" ht="75" customHeight="1">
      <c r="A15" s="73" t="s">
        <v>102</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300-000000000000}"/>
    <hyperlink ref="C9" r:id="rId2" xr:uid="{00000000-0004-0000-03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103</v>
      </c>
      <c r="C7" s="2" t="s">
        <v>104</v>
      </c>
      <c r="D7" s="2" t="s">
        <v>105</v>
      </c>
      <c r="E7" s="2" t="s">
        <v>106</v>
      </c>
      <c r="F7" s="3" t="s">
        <v>107</v>
      </c>
      <c r="G7" s="4" t="s">
        <v>108</v>
      </c>
      <c r="H7" s="5" t="s">
        <v>9</v>
      </c>
      <c r="I7" s="2" t="s">
        <v>109</v>
      </c>
      <c r="J7" s="2" t="s">
        <v>110</v>
      </c>
      <c r="K7" s="6"/>
      <c r="L7" s="6"/>
      <c r="M7" s="6"/>
      <c r="N7" s="6"/>
      <c r="O7" s="6"/>
      <c r="P7" s="6"/>
      <c r="Q7" s="6"/>
      <c r="R7" s="6"/>
      <c r="S7" s="6"/>
      <c r="T7" s="6"/>
      <c r="U7" s="6"/>
      <c r="V7" s="6"/>
      <c r="W7" s="6"/>
      <c r="X7" s="6"/>
      <c r="Y7" s="6"/>
      <c r="Z7" s="6"/>
    </row>
    <row r="8" spans="1:26" ht="37.5" customHeight="1">
      <c r="A8" s="7" t="s">
        <v>12</v>
      </c>
      <c r="B8" s="8" t="s">
        <v>111</v>
      </c>
      <c r="C8" s="12" t="s">
        <v>112</v>
      </c>
      <c r="D8" s="13" t="s">
        <v>113</v>
      </c>
      <c r="E8" s="8">
        <v>16900</v>
      </c>
      <c r="F8" s="25">
        <v>0</v>
      </c>
      <c r="G8" s="26">
        <f t="shared" ref="G8:G9" si="0">E8+F8</f>
        <v>16900</v>
      </c>
      <c r="H8" s="25">
        <f t="shared" ref="H8:H9" si="1">G8</f>
        <v>16900</v>
      </c>
      <c r="I8" s="8" t="s">
        <v>114</v>
      </c>
      <c r="J8" s="33" t="s">
        <v>115</v>
      </c>
    </row>
    <row r="9" spans="1:26" ht="99.75" customHeight="1">
      <c r="A9" s="7" t="s">
        <v>18</v>
      </c>
      <c r="B9" s="8" t="s">
        <v>116</v>
      </c>
      <c r="C9" s="34" t="s">
        <v>117</v>
      </c>
      <c r="D9" s="13" t="s">
        <v>118</v>
      </c>
      <c r="E9" s="8">
        <v>52500</v>
      </c>
      <c r="F9" s="25">
        <v>0</v>
      </c>
      <c r="G9" s="26">
        <f t="shared" si="0"/>
        <v>52500</v>
      </c>
      <c r="H9" s="25">
        <f t="shared" si="1"/>
        <v>52500</v>
      </c>
      <c r="I9" s="13" t="s">
        <v>119</v>
      </c>
      <c r="J9" s="13" t="s">
        <v>120</v>
      </c>
    </row>
    <row r="10" spans="1:26" ht="63" customHeight="1">
      <c r="A10" s="7" t="s">
        <v>24</v>
      </c>
      <c r="B10" s="8" t="s">
        <v>121</v>
      </c>
      <c r="C10" s="13" t="s">
        <v>122</v>
      </c>
      <c r="D10" s="13" t="s">
        <v>123</v>
      </c>
      <c r="E10" s="26" t="s">
        <v>124</v>
      </c>
      <c r="F10" s="35">
        <v>0</v>
      </c>
      <c r="G10" s="30">
        <v>223</v>
      </c>
      <c r="H10" s="25">
        <f>229.8251121076*223</f>
        <v>51250.999999994805</v>
      </c>
      <c r="I10" s="13" t="s">
        <v>114</v>
      </c>
      <c r="J10" s="13" t="s">
        <v>120</v>
      </c>
    </row>
    <row r="11" spans="1:26" ht="15" hidden="1" customHeight="1">
      <c r="A11" s="15"/>
      <c r="B11" s="13"/>
      <c r="C11" s="13"/>
      <c r="D11" s="13"/>
      <c r="E11" s="13"/>
      <c r="F11" s="13"/>
      <c r="G11" s="13"/>
      <c r="H11" s="13"/>
      <c r="I11" s="13"/>
      <c r="J11" s="13"/>
    </row>
    <row r="12" spans="1:26" ht="12.75" customHeight="1">
      <c r="H12" s="17"/>
    </row>
    <row r="13" spans="1:26" ht="138.75" customHeight="1">
      <c r="A13" s="73" t="s">
        <v>125</v>
      </c>
      <c r="B13" s="71"/>
      <c r="C13" s="71"/>
      <c r="D13" s="71"/>
      <c r="E13" s="71"/>
      <c r="F13" s="71"/>
      <c r="G13" s="71"/>
      <c r="H13" s="71"/>
      <c r="I13" s="71"/>
      <c r="J13" s="72"/>
    </row>
    <row r="14" spans="1:26" ht="12.75" customHeight="1"/>
    <row r="15" spans="1:26" ht="75" customHeight="1">
      <c r="A15" s="73" t="s">
        <v>126</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400-000000000000}"/>
    <hyperlink ref="C9" r:id="rId2" xr:uid="{00000000-0004-0000-0400-00000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41.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127</v>
      </c>
      <c r="C7" s="2" t="s">
        <v>128</v>
      </c>
      <c r="D7" s="2" t="s">
        <v>129</v>
      </c>
      <c r="E7" s="2" t="s">
        <v>130</v>
      </c>
      <c r="F7" s="3" t="s">
        <v>131</v>
      </c>
      <c r="G7" s="4" t="s">
        <v>132</v>
      </c>
      <c r="H7" s="5" t="s">
        <v>9</v>
      </c>
      <c r="I7" s="2" t="s">
        <v>133</v>
      </c>
      <c r="J7" s="2" t="s">
        <v>134</v>
      </c>
      <c r="K7" s="6"/>
      <c r="L7" s="6"/>
      <c r="M7" s="6"/>
      <c r="N7" s="6"/>
      <c r="O7" s="6"/>
      <c r="P7" s="6"/>
      <c r="Q7" s="6"/>
      <c r="R7" s="6"/>
      <c r="S7" s="6"/>
      <c r="T7" s="6"/>
      <c r="U7" s="6"/>
      <c r="V7" s="6"/>
      <c r="W7" s="6"/>
      <c r="X7" s="6"/>
      <c r="Y7" s="6"/>
      <c r="Z7" s="6"/>
    </row>
    <row r="8" spans="1:26" ht="129" customHeight="1">
      <c r="A8" s="7" t="s">
        <v>12</v>
      </c>
      <c r="B8" s="8" t="s">
        <v>135</v>
      </c>
      <c r="C8" s="9" t="s">
        <v>136</v>
      </c>
      <c r="D8" s="8" t="s">
        <v>137</v>
      </c>
      <c r="E8" s="11">
        <v>349999</v>
      </c>
      <c r="F8" s="25">
        <v>0</v>
      </c>
      <c r="G8" s="26">
        <f t="shared" ref="G8:G10" si="0">E8+F8</f>
        <v>349999</v>
      </c>
      <c r="H8" s="25">
        <f t="shared" ref="H8:H10" si="1">G8</f>
        <v>349999</v>
      </c>
      <c r="I8" s="8" t="s">
        <v>16</v>
      </c>
      <c r="J8" s="8" t="s">
        <v>138</v>
      </c>
    </row>
    <row r="9" spans="1:26" ht="145.5" customHeight="1">
      <c r="A9" s="7" t="s">
        <v>18</v>
      </c>
      <c r="B9" s="8" t="s">
        <v>139</v>
      </c>
      <c r="C9" s="36" t="s">
        <v>140</v>
      </c>
      <c r="D9" s="8" t="s">
        <v>141</v>
      </c>
      <c r="E9" s="8">
        <v>219000</v>
      </c>
      <c r="F9" s="25">
        <v>0</v>
      </c>
      <c r="G9" s="26">
        <f t="shared" si="0"/>
        <v>219000</v>
      </c>
      <c r="H9" s="31">
        <f t="shared" si="1"/>
        <v>219000</v>
      </c>
      <c r="I9" s="13" t="s">
        <v>119</v>
      </c>
      <c r="J9" s="13" t="s">
        <v>138</v>
      </c>
    </row>
    <row r="10" spans="1:26" ht="50.25" customHeight="1">
      <c r="A10" s="7" t="s">
        <v>24</v>
      </c>
      <c r="B10" s="8" t="s">
        <v>142</v>
      </c>
      <c r="C10" s="9" t="s">
        <v>143</v>
      </c>
      <c r="D10" s="13" t="s">
        <v>144</v>
      </c>
      <c r="E10" s="37">
        <v>289900</v>
      </c>
      <c r="F10" s="25">
        <v>0</v>
      </c>
      <c r="G10" s="30">
        <f t="shared" si="0"/>
        <v>289900</v>
      </c>
      <c r="H10" s="25">
        <f t="shared" si="1"/>
        <v>289900</v>
      </c>
      <c r="I10" s="13" t="s">
        <v>145</v>
      </c>
      <c r="J10" s="38" t="s">
        <v>138</v>
      </c>
    </row>
    <row r="11" spans="1:26" ht="15" hidden="1" customHeight="1">
      <c r="A11" s="15"/>
      <c r="B11" s="13"/>
      <c r="C11" s="13"/>
      <c r="D11" s="13"/>
      <c r="E11" s="13"/>
      <c r="F11" s="13"/>
      <c r="G11" s="13"/>
      <c r="H11" s="13"/>
      <c r="I11" s="13"/>
      <c r="J11" s="13"/>
    </row>
    <row r="12" spans="1:26" ht="12.75" customHeight="1"/>
    <row r="13" spans="1:26" ht="138.75" customHeight="1">
      <c r="A13" s="73" t="s">
        <v>146</v>
      </c>
      <c r="B13" s="71"/>
      <c r="C13" s="71"/>
      <c r="D13" s="71"/>
      <c r="E13" s="71"/>
      <c r="F13" s="71"/>
      <c r="G13" s="71"/>
      <c r="H13" s="71"/>
      <c r="I13" s="71"/>
      <c r="J13" s="72"/>
    </row>
    <row r="14" spans="1:26" ht="12.75" customHeight="1"/>
    <row r="15" spans="1:26" ht="75" customHeight="1">
      <c r="A15" s="73" t="s">
        <v>147</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500-000000000000}"/>
    <hyperlink ref="C9" r:id="rId2" xr:uid="{00000000-0004-0000-0500-000001000000}"/>
    <hyperlink ref="C10" r:id="rId3"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148</v>
      </c>
      <c r="C7" s="2" t="s">
        <v>149</v>
      </c>
      <c r="D7" s="2" t="s">
        <v>150</v>
      </c>
      <c r="E7" s="2" t="s">
        <v>151</v>
      </c>
      <c r="F7" s="3" t="s">
        <v>152</v>
      </c>
      <c r="G7" s="4" t="s">
        <v>153</v>
      </c>
      <c r="H7" s="5" t="s">
        <v>9</v>
      </c>
      <c r="I7" s="2" t="s">
        <v>154</v>
      </c>
      <c r="J7" s="2" t="s">
        <v>155</v>
      </c>
      <c r="K7" s="6"/>
      <c r="L7" s="6"/>
      <c r="M7" s="6"/>
      <c r="N7" s="6"/>
      <c r="O7" s="6"/>
      <c r="P7" s="6"/>
      <c r="Q7" s="6"/>
      <c r="R7" s="6"/>
      <c r="S7" s="6"/>
      <c r="T7" s="6"/>
      <c r="U7" s="6"/>
      <c r="V7" s="6"/>
      <c r="W7" s="6"/>
      <c r="X7" s="6"/>
      <c r="Y7" s="6"/>
      <c r="Z7" s="6"/>
    </row>
    <row r="8" spans="1:26" ht="63.75" customHeight="1">
      <c r="A8" s="7" t="s">
        <v>12</v>
      </c>
      <c r="B8" s="8" t="s">
        <v>156</v>
      </c>
      <c r="C8" s="9" t="s">
        <v>157</v>
      </c>
      <c r="D8" s="8" t="s">
        <v>158</v>
      </c>
      <c r="E8" s="11">
        <v>79900</v>
      </c>
      <c r="F8" s="11">
        <v>0</v>
      </c>
      <c r="G8" s="11">
        <f>E8+F8</f>
        <v>79900</v>
      </c>
      <c r="H8" s="11">
        <f>G8</f>
        <v>79900</v>
      </c>
      <c r="I8" s="8" t="s">
        <v>159</v>
      </c>
      <c r="J8" s="8" t="s">
        <v>160</v>
      </c>
      <c r="N8" s="39"/>
      <c r="O8" s="40"/>
      <c r="P8" s="39"/>
    </row>
    <row r="9" spans="1:26" ht="138.75" customHeight="1">
      <c r="A9" s="7" t="s">
        <v>18</v>
      </c>
      <c r="B9" s="8" t="s">
        <v>161</v>
      </c>
      <c r="C9" s="41" t="s">
        <v>162</v>
      </c>
      <c r="D9" s="8" t="s">
        <v>163</v>
      </c>
      <c r="E9" s="42">
        <v>28900</v>
      </c>
      <c r="F9" s="11">
        <v>0</v>
      </c>
      <c r="G9" s="11">
        <f t="shared" ref="G9:H9" si="0">F9+E9</f>
        <v>28900</v>
      </c>
      <c r="H9" s="11">
        <f t="shared" si="0"/>
        <v>28900</v>
      </c>
      <c r="I9" s="13" t="s">
        <v>159</v>
      </c>
      <c r="J9" s="13" t="s">
        <v>164</v>
      </c>
    </row>
    <row r="10" spans="1:26" ht="142.5" customHeight="1">
      <c r="A10" s="7" t="s">
        <v>24</v>
      </c>
      <c r="B10" s="8" t="s">
        <v>142</v>
      </c>
      <c r="C10" s="9" t="s">
        <v>165</v>
      </c>
      <c r="D10" s="13" t="s">
        <v>166</v>
      </c>
      <c r="E10" s="42">
        <v>54900</v>
      </c>
      <c r="F10" s="11">
        <v>0</v>
      </c>
      <c r="G10" s="11">
        <f t="shared" ref="G10:H10" si="1">F10+E10</f>
        <v>54900</v>
      </c>
      <c r="H10" s="11">
        <f t="shared" si="1"/>
        <v>54900</v>
      </c>
      <c r="I10" s="13" t="s">
        <v>159</v>
      </c>
      <c r="J10" s="13" t="s">
        <v>167</v>
      </c>
    </row>
    <row r="11" spans="1:26" ht="15" hidden="1" customHeight="1">
      <c r="A11" s="15"/>
      <c r="B11" s="13"/>
      <c r="C11" s="13"/>
      <c r="D11" s="13"/>
      <c r="E11" s="13"/>
      <c r="F11" s="13"/>
      <c r="G11" s="13"/>
      <c r="H11" s="13"/>
      <c r="I11" s="13"/>
      <c r="J11" s="13"/>
    </row>
    <row r="12" spans="1:26" ht="12.75" customHeight="1"/>
    <row r="13" spans="1:26" ht="138.75" customHeight="1">
      <c r="A13" s="73" t="s">
        <v>168</v>
      </c>
      <c r="B13" s="71"/>
      <c r="C13" s="71"/>
      <c r="D13" s="71"/>
      <c r="E13" s="71"/>
      <c r="F13" s="71"/>
      <c r="G13" s="71"/>
      <c r="H13" s="71"/>
      <c r="I13" s="71"/>
      <c r="J13" s="72"/>
    </row>
    <row r="14" spans="1:26" ht="12.75" customHeight="1"/>
    <row r="15" spans="1:26" ht="75" customHeight="1">
      <c r="A15" s="73" t="s">
        <v>169</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600-000000000000}"/>
    <hyperlink ref="C9" r:id="rId2" xr:uid="{00000000-0004-0000-0600-000001000000}"/>
    <hyperlink ref="C10" r:id="rId3" xr:uid="{00000000-0004-0000-06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170</v>
      </c>
      <c r="C7" s="2" t="s">
        <v>171</v>
      </c>
      <c r="D7" s="2" t="s">
        <v>172</v>
      </c>
      <c r="E7" s="2" t="s">
        <v>173</v>
      </c>
      <c r="F7" s="3" t="s">
        <v>174</v>
      </c>
      <c r="G7" s="4" t="s">
        <v>175</v>
      </c>
      <c r="H7" s="5" t="s">
        <v>9</v>
      </c>
      <c r="I7" s="2" t="s">
        <v>176</v>
      </c>
      <c r="J7" s="2" t="s">
        <v>177</v>
      </c>
      <c r="K7" s="6"/>
      <c r="L7" s="6"/>
      <c r="M7" s="6"/>
      <c r="N7" s="6"/>
      <c r="O7" s="6"/>
      <c r="P7" s="6"/>
      <c r="Q7" s="6"/>
      <c r="R7" s="6"/>
      <c r="S7" s="6"/>
      <c r="T7" s="6"/>
      <c r="U7" s="6"/>
      <c r="V7" s="6"/>
      <c r="W7" s="6"/>
      <c r="X7" s="6"/>
      <c r="Y7" s="6"/>
      <c r="Z7" s="6"/>
    </row>
    <row r="8" spans="1:26" ht="129" customHeight="1">
      <c r="A8" s="7" t="s">
        <v>12</v>
      </c>
      <c r="B8" s="8" t="s">
        <v>156</v>
      </c>
      <c r="C8" s="9" t="s">
        <v>178</v>
      </c>
      <c r="D8" s="8" t="s">
        <v>179</v>
      </c>
      <c r="E8" s="11">
        <v>23100</v>
      </c>
      <c r="F8" s="11">
        <v>0</v>
      </c>
      <c r="G8" s="11">
        <f t="shared" ref="G8:G10" si="0">SUM(E8:F8)</f>
        <v>23100</v>
      </c>
      <c r="H8" s="11">
        <f t="shared" ref="H8:H10" si="1">G8</f>
        <v>23100</v>
      </c>
      <c r="I8" s="8" t="s">
        <v>159</v>
      </c>
      <c r="J8" s="8" t="s">
        <v>180</v>
      </c>
      <c r="N8" s="39"/>
      <c r="O8" s="40"/>
      <c r="P8" s="39"/>
    </row>
    <row r="9" spans="1:26" ht="178.5" customHeight="1">
      <c r="A9" s="7" t="s">
        <v>18</v>
      </c>
      <c r="B9" s="8" t="s">
        <v>161</v>
      </c>
      <c r="C9" s="36" t="s">
        <v>181</v>
      </c>
      <c r="D9" s="8" t="s">
        <v>182</v>
      </c>
      <c r="E9" s="11">
        <v>20000</v>
      </c>
      <c r="F9" s="11">
        <v>0</v>
      </c>
      <c r="G9" s="11">
        <f t="shared" si="0"/>
        <v>20000</v>
      </c>
      <c r="H9" s="11">
        <f t="shared" si="1"/>
        <v>20000</v>
      </c>
      <c r="I9" s="13" t="s">
        <v>159</v>
      </c>
      <c r="J9" s="13" t="s">
        <v>183</v>
      </c>
    </row>
    <row r="10" spans="1:26" ht="142.5" customHeight="1">
      <c r="A10" s="7" t="s">
        <v>24</v>
      </c>
      <c r="B10" s="8" t="s">
        <v>45</v>
      </c>
      <c r="C10" s="9" t="s">
        <v>184</v>
      </c>
      <c r="D10" s="13" t="s">
        <v>185</v>
      </c>
      <c r="E10" s="11">
        <v>54900</v>
      </c>
      <c r="F10" s="11">
        <v>0</v>
      </c>
      <c r="G10" s="11">
        <f t="shared" si="0"/>
        <v>54900</v>
      </c>
      <c r="H10" s="11">
        <f t="shared" si="1"/>
        <v>54900</v>
      </c>
      <c r="I10" s="13" t="s">
        <v>159</v>
      </c>
      <c r="J10" s="13" t="s">
        <v>186</v>
      </c>
    </row>
    <row r="11" spans="1:26" ht="15" hidden="1" customHeight="1">
      <c r="A11" s="15"/>
      <c r="B11" s="13"/>
      <c r="C11" s="13"/>
      <c r="D11" s="13"/>
      <c r="E11" s="13"/>
      <c r="F11" s="13"/>
      <c r="G11" s="13"/>
      <c r="H11" s="13"/>
      <c r="I11" s="13"/>
      <c r="J11" s="13"/>
    </row>
    <row r="12" spans="1:26" ht="12.75" customHeight="1"/>
    <row r="13" spans="1:26" ht="138.75" customHeight="1">
      <c r="A13" s="73" t="s">
        <v>187</v>
      </c>
      <c r="B13" s="71"/>
      <c r="C13" s="71"/>
      <c r="D13" s="71"/>
      <c r="E13" s="71"/>
      <c r="F13" s="71"/>
      <c r="G13" s="71"/>
      <c r="H13" s="71"/>
      <c r="I13" s="71"/>
      <c r="J13" s="72"/>
    </row>
    <row r="14" spans="1:26" ht="12.75" customHeight="1"/>
    <row r="15" spans="1:26" ht="75" customHeight="1">
      <c r="A15" s="73" t="s">
        <v>188</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700-000000000000}"/>
    <hyperlink ref="C9" r:id="rId2" xr:uid="{00000000-0004-0000-0700-000001000000}"/>
    <hyperlink ref="C10" r:id="rId3" xr:uid="{00000000-0004-0000-0700-00000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189</v>
      </c>
      <c r="C7" s="2" t="s">
        <v>190</v>
      </c>
      <c r="D7" s="2" t="s">
        <v>191</v>
      </c>
      <c r="E7" s="2" t="s">
        <v>192</v>
      </c>
      <c r="F7" s="3" t="s">
        <v>193</v>
      </c>
      <c r="G7" s="4" t="s">
        <v>194</v>
      </c>
      <c r="H7" s="5" t="s">
        <v>9</v>
      </c>
      <c r="I7" s="2" t="s">
        <v>195</v>
      </c>
      <c r="J7" s="2" t="s">
        <v>196</v>
      </c>
      <c r="K7" s="6"/>
      <c r="L7" s="6"/>
      <c r="M7" s="6"/>
      <c r="N7" s="6"/>
      <c r="O7" s="6"/>
      <c r="P7" s="6"/>
      <c r="Q7" s="6"/>
      <c r="R7" s="6"/>
      <c r="S7" s="6"/>
      <c r="T7" s="6"/>
      <c r="U7" s="6"/>
      <c r="V7" s="6"/>
      <c r="W7" s="6"/>
      <c r="X7" s="6"/>
      <c r="Y7" s="6"/>
      <c r="Z7" s="6"/>
    </row>
    <row r="8" spans="1:26" ht="129" customHeight="1">
      <c r="A8" s="7" t="s">
        <v>12</v>
      </c>
      <c r="B8" s="8" t="s">
        <v>197</v>
      </c>
      <c r="C8" s="9" t="s">
        <v>198</v>
      </c>
      <c r="D8" s="8" t="s">
        <v>199</v>
      </c>
      <c r="E8" s="11">
        <v>76792</v>
      </c>
      <c r="F8" s="11">
        <v>0</v>
      </c>
      <c r="G8" s="11">
        <f t="shared" ref="G8:G10" si="0">SUM(E8:F8)</f>
        <v>76792</v>
      </c>
      <c r="H8" s="11">
        <f t="shared" ref="H8:H10" si="1">G8</f>
        <v>76792</v>
      </c>
      <c r="I8" s="8" t="s">
        <v>200</v>
      </c>
      <c r="J8" s="8" t="s">
        <v>201</v>
      </c>
    </row>
    <row r="9" spans="1:26" ht="145.5" customHeight="1">
      <c r="A9" s="7" t="s">
        <v>18</v>
      </c>
      <c r="B9" s="8" t="s">
        <v>202</v>
      </c>
      <c r="C9" s="41" t="s">
        <v>203</v>
      </c>
      <c r="D9" s="8" t="s">
        <v>204</v>
      </c>
      <c r="E9" s="11">
        <v>52950</v>
      </c>
      <c r="F9" s="11">
        <v>0</v>
      </c>
      <c r="G9" s="11">
        <f t="shared" si="0"/>
        <v>52950</v>
      </c>
      <c r="H9" s="11">
        <f t="shared" si="1"/>
        <v>52950</v>
      </c>
      <c r="I9" s="13" t="s">
        <v>119</v>
      </c>
      <c r="J9" s="13" t="s">
        <v>205</v>
      </c>
    </row>
    <row r="10" spans="1:26" ht="69.75" customHeight="1">
      <c r="A10" s="7" t="s">
        <v>24</v>
      </c>
      <c r="B10" s="8" t="s">
        <v>206</v>
      </c>
      <c r="C10" s="9" t="s">
        <v>207</v>
      </c>
      <c r="D10" s="13" t="s">
        <v>208</v>
      </c>
      <c r="E10" s="11">
        <v>442600</v>
      </c>
      <c r="F10" s="11">
        <v>0</v>
      </c>
      <c r="G10" s="11">
        <f t="shared" si="0"/>
        <v>442600</v>
      </c>
      <c r="H10" s="11">
        <f t="shared" si="1"/>
        <v>442600</v>
      </c>
      <c r="I10" s="13" t="s">
        <v>145</v>
      </c>
      <c r="J10" s="13" t="s">
        <v>209</v>
      </c>
    </row>
    <row r="11" spans="1:26" ht="15" hidden="1" customHeight="1">
      <c r="A11" s="15"/>
      <c r="B11" s="13"/>
      <c r="C11" s="13"/>
      <c r="D11" s="13"/>
      <c r="E11" s="13"/>
      <c r="F11" s="13"/>
      <c r="G11" s="13"/>
      <c r="H11" s="13"/>
      <c r="I11" s="13"/>
      <c r="J11" s="13"/>
    </row>
    <row r="12" spans="1:26" ht="12.75" customHeight="1">
      <c r="J12" s="17"/>
    </row>
    <row r="13" spans="1:26" ht="138.75" customHeight="1">
      <c r="A13" s="73" t="s">
        <v>210</v>
      </c>
      <c r="B13" s="71"/>
      <c r="C13" s="71"/>
      <c r="D13" s="71"/>
      <c r="E13" s="71"/>
      <c r="F13" s="71"/>
      <c r="G13" s="71"/>
      <c r="H13" s="71"/>
      <c r="I13" s="71"/>
      <c r="J13" s="72"/>
    </row>
    <row r="14" spans="1:26" ht="12.75" customHeight="1"/>
    <row r="15" spans="1:26" ht="75" customHeight="1">
      <c r="A15" s="73" t="s">
        <v>211</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800-000000000000}"/>
    <hyperlink ref="C9" r:id="rId2" xr:uid="{00000000-0004-0000-0800-000001000000}"/>
    <hyperlink ref="C10"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5703125" defaultRowHeight="15" customHeight="1"/>
  <cols>
    <col min="1" max="3" width="19.140625" customWidth="1"/>
    <col min="4" max="4" width="44.140625" customWidth="1"/>
    <col min="5" max="6" width="17" customWidth="1"/>
    <col min="7" max="7" width="18" customWidth="1"/>
    <col min="8" max="8" width="17" customWidth="1"/>
    <col min="9" max="9" width="19.140625" customWidth="1"/>
    <col min="10" max="10" width="31.710937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212</v>
      </c>
      <c r="C7" s="2" t="s">
        <v>213</v>
      </c>
      <c r="D7" s="2" t="s">
        <v>214</v>
      </c>
      <c r="E7" s="2" t="s">
        <v>215</v>
      </c>
      <c r="F7" s="3" t="s">
        <v>216</v>
      </c>
      <c r="G7" s="4" t="s">
        <v>217</v>
      </c>
      <c r="H7" s="5" t="s">
        <v>9</v>
      </c>
      <c r="I7" s="2" t="s">
        <v>218</v>
      </c>
      <c r="J7" s="2" t="s">
        <v>219</v>
      </c>
      <c r="K7" s="6"/>
      <c r="L7" s="6"/>
      <c r="M7" s="6"/>
      <c r="N7" s="6"/>
      <c r="O7" s="6"/>
      <c r="P7" s="6"/>
      <c r="Q7" s="6"/>
      <c r="R7" s="6"/>
      <c r="S7" s="6"/>
      <c r="T7" s="6"/>
      <c r="U7" s="6"/>
      <c r="V7" s="6"/>
      <c r="W7" s="6"/>
      <c r="X7" s="6"/>
      <c r="Y7" s="6"/>
      <c r="Z7" s="6"/>
    </row>
    <row r="8" spans="1:26" ht="116.25" customHeight="1">
      <c r="A8" s="7" t="s">
        <v>12</v>
      </c>
      <c r="B8" s="8" t="s">
        <v>220</v>
      </c>
      <c r="C8" s="12" t="s">
        <v>221</v>
      </c>
      <c r="D8" s="13" t="s">
        <v>222</v>
      </c>
      <c r="E8" s="25">
        <f t="shared" ref="E8:E9" si="0">H8</f>
        <v>222961.19999999998</v>
      </c>
      <c r="F8" s="25">
        <v>0</v>
      </c>
      <c r="G8" s="26">
        <v>57</v>
      </c>
      <c r="H8" s="25">
        <f>3911.6*G8</f>
        <v>222961.19999999998</v>
      </c>
      <c r="I8" s="8" t="s">
        <v>223</v>
      </c>
      <c r="J8" s="8" t="s">
        <v>224</v>
      </c>
    </row>
    <row r="9" spans="1:26" ht="109.5" customHeight="1">
      <c r="A9" s="7" t="s">
        <v>18</v>
      </c>
      <c r="B9" s="8" t="s">
        <v>225</v>
      </c>
      <c r="C9" s="43" t="s">
        <v>226</v>
      </c>
      <c r="D9" s="13" t="s">
        <v>227</v>
      </c>
      <c r="E9" s="44">
        <f t="shared" si="0"/>
        <v>1961875</v>
      </c>
      <c r="F9" s="45">
        <v>0</v>
      </c>
      <c r="G9" s="26">
        <v>500</v>
      </c>
      <c r="H9" s="25">
        <f>3923.75*G9</f>
        <v>1961875</v>
      </c>
      <c r="I9" s="13" t="s">
        <v>223</v>
      </c>
      <c r="J9" s="13" t="s">
        <v>228</v>
      </c>
    </row>
    <row r="10" spans="1:26" ht="139.5" customHeight="1">
      <c r="A10" s="7" t="s">
        <v>24</v>
      </c>
      <c r="B10" s="8" t="s">
        <v>229</v>
      </c>
      <c r="C10" s="46" t="s">
        <v>230</v>
      </c>
      <c r="D10" s="47" t="s">
        <v>231</v>
      </c>
      <c r="E10" s="48">
        <v>273.89999999999998</v>
      </c>
      <c r="F10" s="49">
        <v>0</v>
      </c>
      <c r="G10" s="30">
        <f>E10+F10</f>
        <v>273.89999999999998</v>
      </c>
      <c r="H10" s="50">
        <f>G10</f>
        <v>273.89999999999998</v>
      </c>
      <c r="I10" s="13" t="s">
        <v>223</v>
      </c>
      <c r="J10" s="51" t="s">
        <v>232</v>
      </c>
    </row>
    <row r="11" spans="1:26" ht="15" hidden="1" customHeight="1">
      <c r="A11" s="15"/>
      <c r="B11" s="13"/>
      <c r="C11" s="13"/>
      <c r="D11" s="13"/>
      <c r="E11" s="13"/>
      <c r="F11" s="13"/>
      <c r="G11" s="13"/>
      <c r="H11" s="13"/>
      <c r="I11" s="13"/>
      <c r="J11" s="52" t="s">
        <v>233</v>
      </c>
    </row>
    <row r="12" spans="1:26" ht="12.75" customHeight="1">
      <c r="J12" s="53"/>
    </row>
    <row r="13" spans="1:26" ht="138.75" customHeight="1">
      <c r="A13" s="73" t="s">
        <v>234</v>
      </c>
      <c r="B13" s="71"/>
      <c r="C13" s="71"/>
      <c r="D13" s="71"/>
      <c r="E13" s="71"/>
      <c r="F13" s="71"/>
      <c r="G13" s="71"/>
      <c r="H13" s="71"/>
      <c r="I13" s="71"/>
      <c r="J13" s="72"/>
    </row>
    <row r="14" spans="1:26" ht="12.75" customHeight="1"/>
    <row r="15" spans="1:26" ht="75" customHeight="1">
      <c r="A15" s="73" t="s">
        <v>235</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900-000000000000}"/>
    <hyperlink ref="C9" r:id="rId2" xr:uid="{00000000-0004-0000-0900-000001000000}"/>
    <hyperlink ref="C10" r:id="rId3"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abSelected="1" workbookViewId="0"/>
  </sheetViews>
  <sheetFormatPr baseColWidth="10" defaultColWidth="12.5703125" defaultRowHeight="15" customHeight="1"/>
  <cols>
    <col min="1" max="3" width="19.140625" customWidth="1"/>
    <col min="4" max="4" width="21.85546875" customWidth="1"/>
    <col min="5" max="6" width="17" customWidth="1"/>
    <col min="7" max="7" width="20.42578125" customWidth="1"/>
    <col min="8" max="8" width="17" customWidth="1"/>
    <col min="9" max="10" width="19.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236</v>
      </c>
      <c r="C7" s="2" t="s">
        <v>237</v>
      </c>
      <c r="D7" s="2" t="s">
        <v>238</v>
      </c>
      <c r="E7" s="2" t="s">
        <v>239</v>
      </c>
      <c r="F7" s="3" t="s">
        <v>240</v>
      </c>
      <c r="G7" s="4" t="s">
        <v>241</v>
      </c>
      <c r="H7" s="5" t="s">
        <v>9</v>
      </c>
      <c r="I7" s="2" t="s">
        <v>242</v>
      </c>
      <c r="J7" s="2" t="s">
        <v>243</v>
      </c>
      <c r="K7" s="6"/>
      <c r="L7" s="6"/>
      <c r="M7" s="6"/>
      <c r="N7" s="6"/>
      <c r="O7" s="6"/>
      <c r="P7" s="6"/>
      <c r="Q7" s="6"/>
      <c r="R7" s="6"/>
      <c r="S7" s="6"/>
      <c r="T7" s="6"/>
      <c r="U7" s="6"/>
      <c r="V7" s="6"/>
      <c r="W7" s="6"/>
      <c r="X7" s="6"/>
      <c r="Y7" s="6"/>
      <c r="Z7" s="6"/>
    </row>
    <row r="8" spans="1:26" ht="50.25" customHeight="1">
      <c r="A8" s="7" t="s">
        <v>12</v>
      </c>
      <c r="B8" s="8" t="s">
        <v>244</v>
      </c>
      <c r="C8" s="12" t="s">
        <v>245</v>
      </c>
      <c r="D8" s="8" t="s">
        <v>246</v>
      </c>
      <c r="E8" s="8">
        <v>388401.75</v>
      </c>
      <c r="F8" s="25">
        <v>0</v>
      </c>
      <c r="G8" s="26">
        <v>99</v>
      </c>
      <c r="H8" s="25">
        <f t="shared" ref="H8:H10" si="0">3923.25*G8</f>
        <v>388401.75</v>
      </c>
      <c r="I8" s="8" t="s">
        <v>223</v>
      </c>
      <c r="J8" s="8" t="s">
        <v>247</v>
      </c>
    </row>
    <row r="9" spans="1:26" ht="50.25" customHeight="1">
      <c r="A9" s="7" t="s">
        <v>18</v>
      </c>
      <c r="B9" s="8" t="s">
        <v>248</v>
      </c>
      <c r="C9" s="41" t="s">
        <v>249</v>
      </c>
      <c r="D9" s="13" t="s">
        <v>250</v>
      </c>
      <c r="E9" s="13" t="s">
        <v>251</v>
      </c>
      <c r="F9" s="25">
        <v>0</v>
      </c>
      <c r="G9" s="54">
        <v>59</v>
      </c>
      <c r="H9" s="25">
        <f t="shared" si="0"/>
        <v>231471.75</v>
      </c>
      <c r="I9" s="13" t="s">
        <v>223</v>
      </c>
      <c r="J9" s="13" t="s">
        <v>252</v>
      </c>
    </row>
    <row r="10" spans="1:26" ht="151.5" customHeight="1">
      <c r="A10" s="7" t="s">
        <v>24</v>
      </c>
      <c r="B10" s="8" t="s">
        <v>253</v>
      </c>
      <c r="C10" s="9" t="s">
        <v>254</v>
      </c>
      <c r="D10" s="13" t="s">
        <v>255</v>
      </c>
      <c r="E10" s="26" t="s">
        <v>256</v>
      </c>
      <c r="F10" s="25">
        <v>0</v>
      </c>
      <c r="G10" s="55">
        <v>45</v>
      </c>
      <c r="H10" s="25">
        <f t="shared" si="0"/>
        <v>176546.25</v>
      </c>
      <c r="I10" s="13" t="s">
        <v>257</v>
      </c>
      <c r="J10" s="13" t="s">
        <v>258</v>
      </c>
    </row>
    <row r="11" spans="1:26" ht="15" hidden="1" customHeight="1">
      <c r="A11" s="15"/>
      <c r="B11" s="13"/>
      <c r="C11" s="13"/>
      <c r="D11" s="13"/>
      <c r="E11" s="13"/>
      <c r="F11" s="13"/>
      <c r="G11" s="13"/>
      <c r="H11" s="13"/>
      <c r="I11" s="13"/>
      <c r="J11" s="13"/>
    </row>
    <row r="12" spans="1:26" ht="12.75" customHeight="1"/>
    <row r="13" spans="1:26" ht="138.75" customHeight="1">
      <c r="A13" s="73" t="s">
        <v>259</v>
      </c>
      <c r="B13" s="71"/>
      <c r="C13" s="71"/>
      <c r="D13" s="71"/>
      <c r="E13" s="71"/>
      <c r="F13" s="71"/>
      <c r="G13" s="71"/>
      <c r="H13" s="71"/>
      <c r="I13" s="71"/>
      <c r="J13" s="72"/>
    </row>
    <row r="14" spans="1:26" ht="12.75" customHeight="1"/>
    <row r="15" spans="1:26" ht="75" customHeight="1">
      <c r="A15" s="73" t="s">
        <v>260</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A00-000000000000}"/>
    <hyperlink ref="C9" r:id="rId2" xr:uid="{00000000-0004-0000-0A00-000001000000}"/>
    <hyperlink ref="C10" r:id="rId3" xr:uid="{00000000-0004-0000-0A00-00000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261</v>
      </c>
      <c r="C7" s="2" t="s">
        <v>262</v>
      </c>
      <c r="D7" s="2" t="s">
        <v>263</v>
      </c>
      <c r="E7" s="2" t="s">
        <v>264</v>
      </c>
      <c r="F7" s="3" t="s">
        <v>265</v>
      </c>
      <c r="G7" s="4" t="s">
        <v>266</v>
      </c>
      <c r="H7" s="5" t="s">
        <v>9</v>
      </c>
      <c r="I7" s="2" t="s">
        <v>267</v>
      </c>
      <c r="J7" s="2" t="s">
        <v>268</v>
      </c>
      <c r="K7" s="6"/>
      <c r="L7" s="6"/>
      <c r="M7" s="6"/>
      <c r="N7" s="6"/>
      <c r="O7" s="6"/>
      <c r="P7" s="6"/>
      <c r="Q7" s="6"/>
      <c r="R7" s="6"/>
      <c r="S7" s="6"/>
      <c r="T7" s="6"/>
      <c r="U7" s="6"/>
      <c r="V7" s="6"/>
      <c r="W7" s="6"/>
      <c r="X7" s="6"/>
      <c r="Y7" s="6"/>
      <c r="Z7" s="6"/>
    </row>
    <row r="8" spans="1:26" ht="79.5" customHeight="1">
      <c r="A8" s="7" t="s">
        <v>12</v>
      </c>
      <c r="B8" s="8" t="s">
        <v>269</v>
      </c>
      <c r="C8" s="12" t="s">
        <v>270</v>
      </c>
      <c r="D8" s="8" t="s">
        <v>271</v>
      </c>
      <c r="E8" s="26">
        <f t="shared" ref="E8:E10" si="0">H8</f>
        <v>191668.4</v>
      </c>
      <c r="F8" s="25">
        <v>0</v>
      </c>
      <c r="G8" s="30">
        <v>49</v>
      </c>
      <c r="H8" s="25">
        <f>3911.6*49</f>
        <v>191668.4</v>
      </c>
      <c r="I8" s="8" t="s">
        <v>145</v>
      </c>
      <c r="J8" s="8" t="s">
        <v>272</v>
      </c>
    </row>
    <row r="9" spans="1:26" ht="140.25" customHeight="1">
      <c r="A9" s="7" t="s">
        <v>18</v>
      </c>
      <c r="B9" s="8" t="s">
        <v>273</v>
      </c>
      <c r="C9" s="36" t="s">
        <v>274</v>
      </c>
      <c r="D9" s="13" t="s">
        <v>275</v>
      </c>
      <c r="E9" s="56">
        <f t="shared" si="0"/>
        <v>15607.284</v>
      </c>
      <c r="F9" s="25">
        <v>0</v>
      </c>
      <c r="G9" s="30">
        <v>3.99</v>
      </c>
      <c r="H9" s="25">
        <f>3911.6*3.99</f>
        <v>15607.284</v>
      </c>
      <c r="I9" s="13" t="s">
        <v>145</v>
      </c>
      <c r="J9" s="13" t="s">
        <v>276</v>
      </c>
    </row>
    <row r="10" spans="1:26" ht="123.75" customHeight="1">
      <c r="A10" s="7" t="s">
        <v>24</v>
      </c>
      <c r="B10" s="8" t="s">
        <v>277</v>
      </c>
      <c r="C10" s="9" t="s">
        <v>278</v>
      </c>
      <c r="D10" s="13" t="s">
        <v>279</v>
      </c>
      <c r="E10" s="26">
        <f t="shared" si="0"/>
        <v>64541.4</v>
      </c>
      <c r="F10" s="25">
        <v>0</v>
      </c>
      <c r="G10" s="30" t="s">
        <v>280</v>
      </c>
      <c r="H10" s="25">
        <f>3911.6*16.5</f>
        <v>64541.4</v>
      </c>
      <c r="I10" s="13" t="s">
        <v>145</v>
      </c>
      <c r="J10" s="13" t="s">
        <v>281</v>
      </c>
    </row>
    <row r="11" spans="1:26" ht="15" hidden="1" customHeight="1">
      <c r="A11" s="15"/>
      <c r="B11" s="13"/>
      <c r="C11" s="13"/>
      <c r="D11" s="13"/>
      <c r="E11" s="13"/>
      <c r="F11" s="13"/>
      <c r="G11" s="13"/>
      <c r="H11" s="13"/>
      <c r="I11" s="13"/>
      <c r="J11" s="13"/>
    </row>
    <row r="12" spans="1:26" ht="12.75" customHeight="1"/>
    <row r="13" spans="1:26" ht="138.75" customHeight="1">
      <c r="A13" s="73" t="s">
        <v>282</v>
      </c>
      <c r="B13" s="71"/>
      <c r="C13" s="71"/>
      <c r="D13" s="71"/>
      <c r="E13" s="71"/>
      <c r="F13" s="71"/>
      <c r="G13" s="71"/>
      <c r="H13" s="71"/>
      <c r="I13" s="71"/>
      <c r="J13" s="72"/>
    </row>
    <row r="14" spans="1:26" ht="12.75" customHeight="1"/>
    <row r="15" spans="1:26" ht="75" customHeight="1">
      <c r="A15" s="73" t="s">
        <v>283</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B00-000000000000}"/>
    <hyperlink ref="C9" r:id="rId2" xr:uid="{00000000-0004-0000-0B00-000001000000}"/>
    <hyperlink ref="C10" r:id="rId3" xr:uid="{00000000-0004-0000-0B00-000002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000"/>
  <sheetViews>
    <sheetView workbookViewId="0"/>
  </sheetViews>
  <sheetFormatPr baseColWidth="10" defaultColWidth="12.5703125" defaultRowHeight="15" customHeight="1"/>
  <cols>
    <col min="1" max="26" width="10.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284</v>
      </c>
      <c r="C7" s="2" t="s">
        <v>285</v>
      </c>
      <c r="D7" s="2" t="s">
        <v>286</v>
      </c>
      <c r="E7" s="2" t="s">
        <v>287</v>
      </c>
      <c r="F7" s="3" t="s">
        <v>288</v>
      </c>
      <c r="G7" s="4" t="s">
        <v>289</v>
      </c>
      <c r="H7" s="5" t="s">
        <v>9</v>
      </c>
      <c r="I7" s="2" t="s">
        <v>290</v>
      </c>
      <c r="J7" s="2" t="s">
        <v>291</v>
      </c>
      <c r="K7" s="6"/>
      <c r="L7" s="6"/>
      <c r="M7" s="6"/>
      <c r="N7" s="6"/>
      <c r="O7" s="6"/>
      <c r="P7" s="6"/>
      <c r="Q7" s="6"/>
      <c r="R7" s="6"/>
      <c r="S7" s="6"/>
      <c r="T7" s="6"/>
      <c r="U7" s="6"/>
      <c r="V7" s="6"/>
      <c r="W7" s="6"/>
      <c r="X7" s="6"/>
      <c r="Y7" s="6"/>
      <c r="Z7" s="6"/>
    </row>
    <row r="8" spans="1:26" ht="115.5" customHeight="1">
      <c r="A8" s="7" t="s">
        <v>12</v>
      </c>
      <c r="B8" s="8" t="s">
        <v>292</v>
      </c>
      <c r="C8" s="12" t="s">
        <v>293</v>
      </c>
      <c r="D8" s="8" t="s">
        <v>294</v>
      </c>
      <c r="E8" s="11">
        <v>159990</v>
      </c>
      <c r="F8" s="11">
        <v>0</v>
      </c>
      <c r="G8" s="11">
        <f t="shared" ref="G8:G10" si="0">F8+E8</f>
        <v>159990</v>
      </c>
      <c r="H8" s="11">
        <f t="shared" ref="H8:H10" si="1">G8</f>
        <v>159990</v>
      </c>
      <c r="I8" s="8" t="s">
        <v>28</v>
      </c>
      <c r="J8" s="8" t="s">
        <v>295</v>
      </c>
    </row>
    <row r="9" spans="1:26" ht="153" customHeight="1">
      <c r="A9" s="7" t="s">
        <v>18</v>
      </c>
      <c r="B9" s="8" t="s">
        <v>296</v>
      </c>
      <c r="C9" s="36" t="s">
        <v>297</v>
      </c>
      <c r="D9" s="13" t="s">
        <v>298</v>
      </c>
      <c r="E9" s="48">
        <v>160000</v>
      </c>
      <c r="F9" s="11">
        <v>0</v>
      </c>
      <c r="G9" s="11">
        <f t="shared" si="0"/>
        <v>160000</v>
      </c>
      <c r="H9" s="11">
        <f t="shared" si="1"/>
        <v>160000</v>
      </c>
      <c r="I9" s="13" t="s">
        <v>28</v>
      </c>
      <c r="J9" s="13" t="s">
        <v>299</v>
      </c>
    </row>
    <row r="10" spans="1:26" ht="113.25" customHeight="1">
      <c r="A10" s="7" t="s">
        <v>24</v>
      </c>
      <c r="B10" s="8" t="s">
        <v>300</v>
      </c>
      <c r="C10" s="9" t="s">
        <v>301</v>
      </c>
      <c r="D10" s="13" t="s">
        <v>302</v>
      </c>
      <c r="E10" s="11">
        <v>432000</v>
      </c>
      <c r="F10" s="11">
        <v>0</v>
      </c>
      <c r="G10" s="11">
        <f t="shared" si="0"/>
        <v>432000</v>
      </c>
      <c r="H10" s="11">
        <f t="shared" si="1"/>
        <v>432000</v>
      </c>
      <c r="I10" s="13" t="s">
        <v>28</v>
      </c>
      <c r="J10" s="13" t="s">
        <v>303</v>
      </c>
    </row>
    <row r="11" spans="1:26" ht="15" hidden="1" customHeight="1">
      <c r="A11" s="15"/>
      <c r="B11" s="13"/>
      <c r="C11" s="13"/>
      <c r="D11" s="13"/>
      <c r="E11" s="13" t="s">
        <v>304</v>
      </c>
      <c r="F11" s="13"/>
      <c r="G11" s="13"/>
      <c r="H11" s="13"/>
      <c r="I11" s="13"/>
      <c r="J11" s="13"/>
    </row>
    <row r="12" spans="1:26" ht="12.75" customHeight="1">
      <c r="E12" s="17"/>
    </row>
    <row r="13" spans="1:26" ht="138.75" customHeight="1">
      <c r="A13" s="73" t="s">
        <v>305</v>
      </c>
      <c r="B13" s="71"/>
      <c r="C13" s="71"/>
      <c r="D13" s="71"/>
      <c r="E13" s="71"/>
      <c r="F13" s="71"/>
      <c r="G13" s="71"/>
      <c r="H13" s="71"/>
      <c r="I13" s="71"/>
      <c r="J13" s="72"/>
    </row>
    <row r="14" spans="1:26" ht="12.75" customHeight="1"/>
    <row r="15" spans="1:26" ht="75" customHeight="1">
      <c r="A15" s="73" t="s">
        <v>306</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D00-000000000000}"/>
    <hyperlink ref="C9" r:id="rId2" xr:uid="{00000000-0004-0000-0D00-000001000000}"/>
    <hyperlink ref="C10" r:id="rId3" location="pc" xr:uid="{00000000-0004-0000-0D00-000002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7" workbookViewId="0">
      <selection activeCell="G9" sqref="G9"/>
    </sheetView>
  </sheetViews>
  <sheetFormatPr baseColWidth="10" defaultColWidth="12.5703125" defaultRowHeight="15" customHeight="1"/>
  <cols>
    <col min="1" max="2" width="19.140625" customWidth="1"/>
    <col min="3" max="3" width="21.140625" customWidth="1"/>
    <col min="4" max="4" width="33.5703125" customWidth="1"/>
    <col min="5" max="5" width="22.28515625"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307</v>
      </c>
      <c r="C7" s="2" t="s">
        <v>308</v>
      </c>
      <c r="D7" s="2" t="s">
        <v>309</v>
      </c>
      <c r="E7" s="2" t="s">
        <v>310</v>
      </c>
      <c r="F7" s="3" t="s">
        <v>311</v>
      </c>
      <c r="G7" s="4" t="s">
        <v>312</v>
      </c>
      <c r="H7" s="5" t="s">
        <v>9</v>
      </c>
      <c r="I7" s="2" t="s">
        <v>313</v>
      </c>
      <c r="J7" s="2" t="s">
        <v>314</v>
      </c>
      <c r="K7" s="6"/>
      <c r="L7" s="6"/>
      <c r="M7" s="6"/>
      <c r="N7" s="6"/>
      <c r="O7" s="6"/>
      <c r="P7" s="6"/>
      <c r="Q7" s="6"/>
      <c r="R7" s="6"/>
      <c r="S7" s="6"/>
      <c r="T7" s="6"/>
      <c r="U7" s="6"/>
      <c r="V7" s="6"/>
      <c r="W7" s="6"/>
      <c r="X7" s="6"/>
      <c r="Y7" s="6"/>
      <c r="Z7" s="6"/>
    </row>
    <row r="8" spans="1:26" ht="129" customHeight="1">
      <c r="A8" s="7" t="s">
        <v>12</v>
      </c>
      <c r="B8" s="57" t="s">
        <v>315</v>
      </c>
      <c r="C8" s="9"/>
      <c r="D8" s="8" t="s">
        <v>316</v>
      </c>
      <c r="E8" s="58">
        <v>4800000</v>
      </c>
      <c r="F8" s="11">
        <v>0</v>
      </c>
      <c r="G8" s="11">
        <f t="shared" ref="G8:G9" si="0">E8+F8</f>
        <v>4800000</v>
      </c>
      <c r="H8" s="11">
        <f t="shared" ref="H8:H10" si="1">G8</f>
        <v>4800000</v>
      </c>
      <c r="I8" s="59" t="s">
        <v>317</v>
      </c>
      <c r="J8" s="8"/>
    </row>
    <row r="9" spans="1:26" ht="145.5" customHeight="1">
      <c r="A9" s="7" t="s">
        <v>18</v>
      </c>
      <c r="B9" s="57" t="s">
        <v>318</v>
      </c>
      <c r="C9" s="12"/>
      <c r="D9" s="57" t="s">
        <v>319</v>
      </c>
      <c r="E9" s="58">
        <v>9000000</v>
      </c>
      <c r="F9" s="11">
        <v>0</v>
      </c>
      <c r="G9" s="11">
        <f t="shared" si="0"/>
        <v>9000000</v>
      </c>
      <c r="H9" s="11">
        <f t="shared" si="1"/>
        <v>9000000</v>
      </c>
      <c r="I9" s="57" t="s">
        <v>320</v>
      </c>
      <c r="J9" s="8"/>
    </row>
    <row r="10" spans="1:26" ht="90" customHeight="1">
      <c r="A10" s="7" t="s">
        <v>24</v>
      </c>
      <c r="B10" s="60" t="s">
        <v>321</v>
      </c>
      <c r="C10" s="9"/>
      <c r="D10" s="57" t="s">
        <v>322</v>
      </c>
      <c r="E10" s="61">
        <v>18000000</v>
      </c>
      <c r="F10" s="11">
        <v>0</v>
      </c>
      <c r="G10" s="11">
        <f>E10</f>
        <v>18000000</v>
      </c>
      <c r="H10" s="11">
        <f t="shared" si="1"/>
        <v>18000000</v>
      </c>
      <c r="I10" s="57" t="s">
        <v>320</v>
      </c>
      <c r="J10" s="62"/>
    </row>
    <row r="11" spans="1:26" ht="15" hidden="1" customHeight="1">
      <c r="A11" s="15"/>
      <c r="B11" s="13"/>
      <c r="C11" s="13" t="s">
        <v>30</v>
      </c>
      <c r="D11" s="13"/>
      <c r="E11" s="13"/>
      <c r="F11" s="13"/>
      <c r="G11" s="13"/>
      <c r="H11" s="13"/>
      <c r="I11" s="13"/>
      <c r="J11" s="13"/>
    </row>
    <row r="12" spans="1:26" ht="12.75" customHeight="1"/>
    <row r="13" spans="1:26" ht="138.75" customHeight="1">
      <c r="A13" s="73" t="s">
        <v>323</v>
      </c>
      <c r="B13" s="71"/>
      <c r="C13" s="71"/>
      <c r="D13" s="71"/>
      <c r="E13" s="71"/>
      <c r="F13" s="71"/>
      <c r="G13" s="71"/>
      <c r="H13" s="71"/>
      <c r="I13" s="71"/>
      <c r="J13" s="72"/>
    </row>
    <row r="14" spans="1:26" ht="12.75" customHeight="1"/>
    <row r="15" spans="1:26" ht="75" customHeight="1">
      <c r="A15" s="73" t="s">
        <v>324</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baseColWidth="10" defaultColWidth="12.5703125" defaultRowHeight="15" customHeight="1"/>
  <cols>
    <col min="1" max="3" width="19.140625" customWidth="1"/>
    <col min="4" max="4" width="25.85546875" customWidth="1"/>
    <col min="5" max="6" width="17" customWidth="1"/>
    <col min="7" max="7" width="18" customWidth="1"/>
    <col min="8" max="8" width="17" customWidth="1"/>
    <col min="9" max="9" width="19.140625" customWidth="1"/>
    <col min="10" max="10" width="21.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325</v>
      </c>
      <c r="C7" s="2" t="s">
        <v>326</v>
      </c>
      <c r="D7" s="2" t="s">
        <v>327</v>
      </c>
      <c r="E7" s="2" t="s">
        <v>328</v>
      </c>
      <c r="F7" s="3" t="s">
        <v>329</v>
      </c>
      <c r="G7" s="4" t="s">
        <v>330</v>
      </c>
      <c r="H7" s="5" t="s">
        <v>9</v>
      </c>
      <c r="I7" s="2" t="s">
        <v>331</v>
      </c>
      <c r="J7" s="2" t="s">
        <v>332</v>
      </c>
      <c r="K7" s="6"/>
      <c r="L7" s="6"/>
      <c r="M7" s="6"/>
      <c r="N7" s="6"/>
      <c r="O7" s="6"/>
      <c r="P7" s="6"/>
      <c r="Q7" s="6"/>
      <c r="R7" s="6"/>
      <c r="S7" s="6"/>
      <c r="T7" s="6"/>
      <c r="U7" s="6"/>
      <c r="V7" s="6"/>
      <c r="W7" s="6"/>
      <c r="X7" s="6"/>
      <c r="Y7" s="6"/>
      <c r="Z7" s="6"/>
    </row>
    <row r="8" spans="1:26" ht="199.5" customHeight="1">
      <c r="A8" s="7" t="s">
        <v>12</v>
      </c>
      <c r="B8" s="8" t="s">
        <v>41</v>
      </c>
      <c r="C8" s="8" t="s">
        <v>42</v>
      </c>
      <c r="D8" s="8" t="s">
        <v>43</v>
      </c>
      <c r="E8" s="11">
        <v>749900</v>
      </c>
      <c r="F8" s="11">
        <v>0</v>
      </c>
      <c r="G8" s="11">
        <f t="shared" ref="G8:G10" si="0">E8+F8</f>
        <v>749900</v>
      </c>
      <c r="H8" s="11">
        <f t="shared" ref="H8:H10" si="1">G8</f>
        <v>749900</v>
      </c>
      <c r="I8" s="8" t="s">
        <v>22</v>
      </c>
      <c r="J8" s="8" t="s">
        <v>44</v>
      </c>
    </row>
    <row r="9" spans="1:26" ht="88.5" customHeight="1">
      <c r="A9" s="7" t="s">
        <v>18</v>
      </c>
      <c r="B9" s="8" t="s">
        <v>45</v>
      </c>
      <c r="C9" s="18" t="s">
        <v>333</v>
      </c>
      <c r="D9" s="8" t="s">
        <v>47</v>
      </c>
      <c r="E9" s="11">
        <v>749900</v>
      </c>
      <c r="F9" s="11">
        <v>0</v>
      </c>
      <c r="G9" s="11">
        <f t="shared" si="0"/>
        <v>749900</v>
      </c>
      <c r="H9" s="11">
        <f t="shared" si="1"/>
        <v>749900</v>
      </c>
      <c r="I9" s="8" t="s">
        <v>48</v>
      </c>
      <c r="J9" s="8" t="s">
        <v>49</v>
      </c>
    </row>
    <row r="10" spans="1:26" ht="338.25" customHeight="1">
      <c r="A10" s="7" t="s">
        <v>24</v>
      </c>
      <c r="B10" s="8" t="s">
        <v>50</v>
      </c>
      <c r="C10" s="19" t="s">
        <v>334</v>
      </c>
      <c r="D10" s="8" t="s">
        <v>52</v>
      </c>
      <c r="E10" s="11">
        <v>861900</v>
      </c>
      <c r="F10" s="20">
        <v>0</v>
      </c>
      <c r="G10" s="11">
        <f t="shared" si="0"/>
        <v>861900</v>
      </c>
      <c r="H10" s="11">
        <f t="shared" si="1"/>
        <v>861900</v>
      </c>
      <c r="I10" s="8" t="s">
        <v>22</v>
      </c>
      <c r="J10" s="8" t="s">
        <v>53</v>
      </c>
    </row>
    <row r="11" spans="1:26" ht="15" hidden="1" customHeight="1">
      <c r="A11" s="15"/>
      <c r="B11" s="13"/>
      <c r="C11" s="13"/>
      <c r="D11" s="13" t="s">
        <v>54</v>
      </c>
      <c r="E11" s="13"/>
      <c r="F11" s="13"/>
      <c r="G11" s="13"/>
      <c r="H11" s="13"/>
      <c r="I11" s="13"/>
      <c r="J11" s="13"/>
    </row>
    <row r="12" spans="1:26" ht="20.25" customHeight="1"/>
    <row r="13" spans="1:26" ht="138.75" customHeight="1">
      <c r="A13" s="73" t="s">
        <v>335</v>
      </c>
      <c r="B13" s="71"/>
      <c r="C13" s="71"/>
      <c r="D13" s="71"/>
      <c r="E13" s="71"/>
      <c r="F13" s="71"/>
      <c r="G13" s="71"/>
      <c r="H13" s="71"/>
      <c r="I13" s="71"/>
      <c r="J13" s="72"/>
    </row>
    <row r="14" spans="1:26" ht="12.75" customHeight="1"/>
    <row r="15" spans="1:26" ht="75" customHeight="1">
      <c r="A15" s="73" t="s">
        <v>336</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9" r:id="rId1" xr:uid="{00000000-0004-0000-0F00-000000000000}"/>
    <hyperlink ref="C10" r:id="rId2" xr:uid="{00000000-0004-0000-0F00-000001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baseColWidth="10" defaultColWidth="12.5703125" defaultRowHeight="15" customHeight="1"/>
  <cols>
    <col min="1" max="2" width="19.140625" customWidth="1"/>
    <col min="3" max="3" width="21.42578125" customWidth="1"/>
    <col min="4" max="4" width="21.85546875" customWidth="1"/>
    <col min="5" max="6" width="17" customWidth="1"/>
    <col min="7" max="7" width="18" customWidth="1"/>
    <col min="8" max="8" width="17" customWidth="1"/>
    <col min="9" max="9" width="19.140625" customWidth="1"/>
    <col min="10" max="10" width="33.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337</v>
      </c>
      <c r="C7" s="2" t="s">
        <v>338</v>
      </c>
      <c r="D7" s="2" t="s">
        <v>339</v>
      </c>
      <c r="E7" s="2" t="s">
        <v>340</v>
      </c>
      <c r="F7" s="3" t="s">
        <v>341</v>
      </c>
      <c r="G7" s="4" t="s">
        <v>342</v>
      </c>
      <c r="H7" s="5" t="s">
        <v>9</v>
      </c>
      <c r="I7" s="2" t="s">
        <v>343</v>
      </c>
      <c r="J7" s="2" t="s">
        <v>344</v>
      </c>
      <c r="K7" s="6"/>
      <c r="L7" s="6"/>
      <c r="M7" s="6"/>
      <c r="N7" s="6"/>
      <c r="O7" s="6"/>
      <c r="P7" s="6"/>
      <c r="Q7" s="6"/>
      <c r="R7" s="6"/>
      <c r="S7" s="6"/>
      <c r="T7" s="6"/>
      <c r="U7" s="6"/>
      <c r="V7" s="6"/>
      <c r="W7" s="6"/>
      <c r="X7" s="6"/>
      <c r="Y7" s="6"/>
      <c r="Z7" s="6"/>
    </row>
    <row r="8" spans="1:26" ht="132.75" customHeight="1">
      <c r="A8" s="7" t="s">
        <v>12</v>
      </c>
      <c r="B8" s="8" t="s">
        <v>85</v>
      </c>
      <c r="C8" s="24" t="s">
        <v>345</v>
      </c>
      <c r="D8" s="8" t="s">
        <v>87</v>
      </c>
      <c r="E8" s="11">
        <v>300000</v>
      </c>
      <c r="F8" s="25">
        <v>0</v>
      </c>
      <c r="G8" s="26">
        <f>E8+F8</f>
        <v>300000</v>
      </c>
      <c r="H8" s="25">
        <f>G8</f>
        <v>300000</v>
      </c>
      <c r="I8" s="8" t="s">
        <v>22</v>
      </c>
      <c r="J8" s="27" t="s">
        <v>88</v>
      </c>
    </row>
    <row r="9" spans="1:26" ht="160.5" customHeight="1">
      <c r="A9" s="7" t="s">
        <v>18</v>
      </c>
      <c r="B9" s="8" t="s">
        <v>89</v>
      </c>
      <c r="C9" s="28" t="s">
        <v>346</v>
      </c>
      <c r="D9" s="13" t="s">
        <v>91</v>
      </c>
      <c r="E9" s="11" t="s">
        <v>92</v>
      </c>
      <c r="F9" s="10">
        <v>0</v>
      </c>
      <c r="G9" s="26" t="s">
        <v>93</v>
      </c>
      <c r="H9" s="25">
        <f>119.88*3918.4500333667</f>
        <v>469743.79</v>
      </c>
      <c r="I9" s="13" t="s">
        <v>94</v>
      </c>
      <c r="J9" s="29" t="s">
        <v>95</v>
      </c>
    </row>
    <row r="10" spans="1:26" ht="92.25" customHeight="1">
      <c r="A10" s="7" t="s">
        <v>24</v>
      </c>
      <c r="B10" s="8" t="s">
        <v>96</v>
      </c>
      <c r="C10" s="13" t="s">
        <v>97</v>
      </c>
      <c r="D10" s="13" t="s">
        <v>98</v>
      </c>
      <c r="E10" s="26">
        <v>371700</v>
      </c>
      <c r="F10" s="25">
        <v>0</v>
      </c>
      <c r="G10" s="30">
        <f>E10+F10</f>
        <v>371700</v>
      </c>
      <c r="H10" s="31">
        <f>G10</f>
        <v>371700</v>
      </c>
      <c r="I10" s="13" t="s">
        <v>94</v>
      </c>
      <c r="J10" s="29" t="s">
        <v>99</v>
      </c>
    </row>
    <row r="11" spans="1:26" ht="15" hidden="1" customHeight="1">
      <c r="A11" s="15"/>
      <c r="B11" s="13"/>
      <c r="C11" s="13"/>
      <c r="D11" s="13"/>
      <c r="E11" s="13"/>
      <c r="F11" s="13"/>
      <c r="G11" s="13"/>
      <c r="H11" s="13"/>
      <c r="I11" s="13"/>
      <c r="J11" s="32" t="s">
        <v>100</v>
      </c>
    </row>
    <row r="12" spans="1:26" ht="12.75" customHeight="1"/>
    <row r="13" spans="1:26" ht="138.75" customHeight="1">
      <c r="A13" s="73" t="s">
        <v>347</v>
      </c>
      <c r="B13" s="71"/>
      <c r="C13" s="71"/>
      <c r="D13" s="71"/>
      <c r="E13" s="71"/>
      <c r="F13" s="71"/>
      <c r="G13" s="71"/>
      <c r="H13" s="71"/>
      <c r="I13" s="71"/>
      <c r="J13" s="72"/>
    </row>
    <row r="14" spans="1:26" ht="12.75" customHeight="1"/>
    <row r="15" spans="1:26" ht="75" customHeight="1">
      <c r="A15" s="73" t="s">
        <v>348</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000-000000000000}"/>
    <hyperlink ref="C9" r:id="rId2" xr:uid="{00000000-0004-0000-1000-000001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349</v>
      </c>
      <c r="C7" s="2" t="s">
        <v>350</v>
      </c>
      <c r="D7" s="2" t="s">
        <v>351</v>
      </c>
      <c r="E7" s="2" t="s">
        <v>352</v>
      </c>
      <c r="F7" s="3" t="s">
        <v>353</v>
      </c>
      <c r="G7" s="4" t="s">
        <v>354</v>
      </c>
      <c r="H7" s="5" t="s">
        <v>9</v>
      </c>
      <c r="I7" s="2" t="s">
        <v>355</v>
      </c>
      <c r="J7" s="2" t="s">
        <v>356</v>
      </c>
      <c r="K7" s="6"/>
      <c r="L7" s="6"/>
      <c r="M7" s="6"/>
      <c r="N7" s="6"/>
      <c r="O7" s="6"/>
      <c r="P7" s="6"/>
      <c r="Q7" s="6"/>
      <c r="R7" s="6"/>
      <c r="S7" s="6"/>
      <c r="T7" s="6"/>
      <c r="U7" s="6"/>
      <c r="V7" s="6"/>
      <c r="W7" s="6"/>
      <c r="X7" s="6"/>
      <c r="Y7" s="6"/>
      <c r="Z7" s="6"/>
    </row>
    <row r="8" spans="1:26" ht="37.5" customHeight="1">
      <c r="A8" s="7" t="s">
        <v>12</v>
      </c>
      <c r="B8" s="8" t="s">
        <v>111</v>
      </c>
      <c r="C8" s="12" t="s">
        <v>112</v>
      </c>
      <c r="D8" s="13" t="s">
        <v>113</v>
      </c>
      <c r="E8" s="8">
        <v>16900</v>
      </c>
      <c r="F8" s="25">
        <v>0</v>
      </c>
      <c r="G8" s="26">
        <f t="shared" ref="G8:G9" si="0">E8+F8</f>
        <v>16900</v>
      </c>
      <c r="H8" s="25">
        <f t="shared" ref="H8:H9" si="1">G8</f>
        <v>16900</v>
      </c>
      <c r="I8" s="8" t="s">
        <v>114</v>
      </c>
      <c r="J8" s="33" t="s">
        <v>115</v>
      </c>
    </row>
    <row r="9" spans="1:26" ht="99.75" customHeight="1">
      <c r="A9" s="7" t="s">
        <v>18</v>
      </c>
      <c r="B9" s="8" t="s">
        <v>116</v>
      </c>
      <c r="C9" s="34" t="s">
        <v>357</v>
      </c>
      <c r="D9" s="13" t="s">
        <v>118</v>
      </c>
      <c r="E9" s="8">
        <v>52500</v>
      </c>
      <c r="F9" s="25">
        <v>0</v>
      </c>
      <c r="G9" s="26">
        <f t="shared" si="0"/>
        <v>52500</v>
      </c>
      <c r="H9" s="25">
        <f t="shared" si="1"/>
        <v>52500</v>
      </c>
      <c r="I9" s="13" t="s">
        <v>119</v>
      </c>
      <c r="J9" s="13" t="s">
        <v>120</v>
      </c>
    </row>
    <row r="10" spans="1:26" ht="63" customHeight="1">
      <c r="A10" s="7" t="s">
        <v>24</v>
      </c>
      <c r="B10" s="8" t="s">
        <v>121</v>
      </c>
      <c r="C10" s="13" t="s">
        <v>122</v>
      </c>
      <c r="D10" s="13" t="s">
        <v>123</v>
      </c>
      <c r="E10" s="26" t="s">
        <v>124</v>
      </c>
      <c r="F10" s="35">
        <v>0</v>
      </c>
      <c r="G10" s="30">
        <v>223</v>
      </c>
      <c r="H10" s="25">
        <f>229.8251121076*223</f>
        <v>51250.999999994805</v>
      </c>
      <c r="I10" s="13" t="s">
        <v>114</v>
      </c>
      <c r="J10" s="13" t="s">
        <v>120</v>
      </c>
    </row>
    <row r="11" spans="1:26" ht="15" hidden="1" customHeight="1">
      <c r="A11" s="15"/>
      <c r="B11" s="13"/>
      <c r="C11" s="13"/>
      <c r="D11" s="13"/>
      <c r="E11" s="13"/>
      <c r="F11" s="13"/>
      <c r="G11" s="13"/>
      <c r="H11" s="13"/>
      <c r="I11" s="13"/>
      <c r="J11" s="13"/>
    </row>
    <row r="12" spans="1:26" ht="12.75" customHeight="1">
      <c r="H12" s="17"/>
    </row>
    <row r="13" spans="1:26" ht="138.75" customHeight="1">
      <c r="A13" s="73" t="s">
        <v>358</v>
      </c>
      <c r="B13" s="71"/>
      <c r="C13" s="71"/>
      <c r="D13" s="71"/>
      <c r="E13" s="71"/>
      <c r="F13" s="71"/>
      <c r="G13" s="71"/>
      <c r="H13" s="71"/>
      <c r="I13" s="71"/>
      <c r="J13" s="72"/>
    </row>
    <row r="14" spans="1:26" ht="12.75" customHeight="1"/>
    <row r="15" spans="1:26" ht="75" customHeight="1">
      <c r="A15" s="73" t="s">
        <v>359</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100-000000000000}"/>
    <hyperlink ref="C9" r:id="rId2" xr:uid="{00000000-0004-0000-1100-000001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360</v>
      </c>
      <c r="C7" s="2" t="s">
        <v>361</v>
      </c>
      <c r="D7" s="2" t="s">
        <v>362</v>
      </c>
      <c r="E7" s="2" t="s">
        <v>363</v>
      </c>
      <c r="F7" s="3" t="s">
        <v>364</v>
      </c>
      <c r="G7" s="4" t="s">
        <v>365</v>
      </c>
      <c r="H7" s="5" t="s">
        <v>9</v>
      </c>
      <c r="I7" s="2" t="s">
        <v>366</v>
      </c>
      <c r="J7" s="2" t="s">
        <v>367</v>
      </c>
      <c r="K7" s="6"/>
      <c r="L7" s="6"/>
      <c r="M7" s="6"/>
      <c r="N7" s="6"/>
      <c r="O7" s="6"/>
      <c r="P7" s="6"/>
      <c r="Q7" s="6"/>
      <c r="R7" s="6"/>
      <c r="S7" s="6"/>
      <c r="T7" s="6"/>
      <c r="U7" s="6"/>
      <c r="V7" s="6"/>
      <c r="W7" s="6"/>
      <c r="X7" s="6"/>
      <c r="Y7" s="6"/>
      <c r="Z7" s="6"/>
    </row>
    <row r="8" spans="1:26" ht="129" customHeight="1">
      <c r="A8" s="7" t="s">
        <v>12</v>
      </c>
      <c r="B8" s="8" t="s">
        <v>135</v>
      </c>
      <c r="C8" s="9" t="s">
        <v>368</v>
      </c>
      <c r="D8" s="8" t="s">
        <v>137</v>
      </c>
      <c r="E8" s="11">
        <v>349999</v>
      </c>
      <c r="F8" s="25">
        <v>0</v>
      </c>
      <c r="G8" s="26">
        <f t="shared" ref="G8:G10" si="0">E8+F8</f>
        <v>349999</v>
      </c>
      <c r="H8" s="25">
        <f t="shared" ref="H8:H10" si="1">G8</f>
        <v>349999</v>
      </c>
      <c r="I8" s="8" t="s">
        <v>16</v>
      </c>
      <c r="J8" s="8" t="s">
        <v>138</v>
      </c>
    </row>
    <row r="9" spans="1:26" ht="145.5" customHeight="1">
      <c r="A9" s="7" t="s">
        <v>18</v>
      </c>
      <c r="B9" s="8" t="s">
        <v>139</v>
      </c>
      <c r="C9" s="36" t="s">
        <v>140</v>
      </c>
      <c r="D9" s="8" t="s">
        <v>141</v>
      </c>
      <c r="E9" s="8">
        <v>219000</v>
      </c>
      <c r="F9" s="25">
        <v>0</v>
      </c>
      <c r="G9" s="26">
        <f t="shared" si="0"/>
        <v>219000</v>
      </c>
      <c r="H9" s="31">
        <f t="shared" si="1"/>
        <v>219000</v>
      </c>
      <c r="I9" s="13" t="s">
        <v>119</v>
      </c>
      <c r="J9" s="13" t="s">
        <v>138</v>
      </c>
    </row>
    <row r="10" spans="1:26" ht="50.25" customHeight="1">
      <c r="A10" s="7" t="s">
        <v>24</v>
      </c>
      <c r="B10" s="8" t="s">
        <v>142</v>
      </c>
      <c r="C10" s="9" t="s">
        <v>143</v>
      </c>
      <c r="D10" s="13" t="s">
        <v>144</v>
      </c>
      <c r="E10" s="63">
        <v>289900</v>
      </c>
      <c r="F10" s="25">
        <v>0</v>
      </c>
      <c r="G10" s="30">
        <f t="shared" si="0"/>
        <v>289900</v>
      </c>
      <c r="H10" s="25">
        <f t="shared" si="1"/>
        <v>289900</v>
      </c>
      <c r="I10" s="13" t="s">
        <v>145</v>
      </c>
      <c r="J10" s="64" t="s">
        <v>138</v>
      </c>
    </row>
    <row r="11" spans="1:26" ht="15" hidden="1" customHeight="1">
      <c r="A11" s="15"/>
      <c r="B11" s="13"/>
      <c r="C11" s="13"/>
      <c r="D11" s="13"/>
      <c r="E11" s="13"/>
      <c r="F11" s="13"/>
      <c r="G11" s="13"/>
      <c r="H11" s="13"/>
      <c r="I11" s="13"/>
      <c r="J11" s="13"/>
    </row>
    <row r="12" spans="1:26" ht="12.75" customHeight="1"/>
    <row r="13" spans="1:26" ht="138.75" customHeight="1">
      <c r="A13" s="73" t="s">
        <v>369</v>
      </c>
      <c r="B13" s="71"/>
      <c r="C13" s="71"/>
      <c r="D13" s="71"/>
      <c r="E13" s="71"/>
      <c r="F13" s="71"/>
      <c r="G13" s="71"/>
      <c r="H13" s="71"/>
      <c r="I13" s="71"/>
      <c r="J13" s="72"/>
    </row>
    <row r="14" spans="1:26" ht="12.75" customHeight="1"/>
    <row r="15" spans="1:26" ht="75" customHeight="1">
      <c r="A15" s="73" t="s">
        <v>370</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200-000000000000}"/>
    <hyperlink ref="C9" r:id="rId2" xr:uid="{00000000-0004-0000-1200-000001000000}"/>
    <hyperlink ref="C10" r:id="rId3" xr:uid="{00000000-0004-0000-1200-000002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371</v>
      </c>
      <c r="C7" s="2" t="s">
        <v>372</v>
      </c>
      <c r="D7" s="2" t="s">
        <v>373</v>
      </c>
      <c r="E7" s="2" t="s">
        <v>374</v>
      </c>
      <c r="F7" s="3" t="s">
        <v>375</v>
      </c>
      <c r="G7" s="4" t="s">
        <v>376</v>
      </c>
      <c r="H7" s="5" t="s">
        <v>9</v>
      </c>
      <c r="I7" s="2" t="s">
        <v>377</v>
      </c>
      <c r="J7" s="2" t="s">
        <v>378</v>
      </c>
      <c r="K7" s="6"/>
      <c r="L7" s="6"/>
      <c r="M7" s="6"/>
      <c r="N7" s="6"/>
      <c r="O7" s="6"/>
      <c r="P7" s="6"/>
      <c r="Q7" s="6"/>
      <c r="R7" s="6"/>
      <c r="S7" s="6"/>
      <c r="T7" s="6"/>
      <c r="U7" s="6"/>
      <c r="V7" s="6"/>
      <c r="W7" s="6"/>
      <c r="X7" s="6"/>
      <c r="Y7" s="6"/>
      <c r="Z7" s="6"/>
    </row>
    <row r="8" spans="1:26" ht="63.75" customHeight="1">
      <c r="A8" s="7" t="s">
        <v>12</v>
      </c>
      <c r="B8" s="8" t="s">
        <v>156</v>
      </c>
      <c r="C8" s="9" t="s">
        <v>379</v>
      </c>
      <c r="D8" s="8" t="s">
        <v>158</v>
      </c>
      <c r="E8" s="11">
        <v>79900</v>
      </c>
      <c r="F8" s="11">
        <v>0</v>
      </c>
      <c r="G8" s="11">
        <f>E8+F8</f>
        <v>79900</v>
      </c>
      <c r="H8" s="11">
        <f>G8</f>
        <v>79900</v>
      </c>
      <c r="I8" s="8" t="s">
        <v>159</v>
      </c>
      <c r="J8" s="8" t="s">
        <v>160</v>
      </c>
      <c r="N8" s="39"/>
      <c r="O8" s="40"/>
      <c r="P8" s="39"/>
    </row>
    <row r="9" spans="1:26" ht="138.75" customHeight="1">
      <c r="A9" s="7" t="s">
        <v>18</v>
      </c>
      <c r="B9" s="8" t="s">
        <v>161</v>
      </c>
      <c r="C9" s="41" t="s">
        <v>380</v>
      </c>
      <c r="D9" s="8" t="s">
        <v>163</v>
      </c>
      <c r="E9" s="42">
        <v>28900</v>
      </c>
      <c r="F9" s="11">
        <v>0</v>
      </c>
      <c r="G9" s="11">
        <f t="shared" ref="G9:H9" si="0">F9+E9</f>
        <v>28900</v>
      </c>
      <c r="H9" s="11">
        <f t="shared" si="0"/>
        <v>28900</v>
      </c>
      <c r="I9" s="13" t="s">
        <v>159</v>
      </c>
      <c r="J9" s="13" t="s">
        <v>164</v>
      </c>
    </row>
    <row r="10" spans="1:26" ht="142.5" customHeight="1">
      <c r="A10" s="7" t="s">
        <v>24</v>
      </c>
      <c r="B10" s="8" t="s">
        <v>142</v>
      </c>
      <c r="C10" s="9" t="s">
        <v>381</v>
      </c>
      <c r="D10" s="13" t="s">
        <v>166</v>
      </c>
      <c r="E10" s="42">
        <v>54900</v>
      </c>
      <c r="F10" s="11">
        <v>0</v>
      </c>
      <c r="G10" s="11">
        <f t="shared" ref="G10:H10" si="1">F10+E10</f>
        <v>54900</v>
      </c>
      <c r="H10" s="11">
        <f t="shared" si="1"/>
        <v>54900</v>
      </c>
      <c r="I10" s="13" t="s">
        <v>159</v>
      </c>
      <c r="J10" s="13" t="s">
        <v>167</v>
      </c>
    </row>
    <row r="11" spans="1:26" ht="15" hidden="1" customHeight="1">
      <c r="A11" s="15"/>
      <c r="B11" s="13"/>
      <c r="C11" s="13"/>
      <c r="D11" s="13"/>
      <c r="E11" s="13"/>
      <c r="F11" s="13"/>
      <c r="G11" s="13"/>
      <c r="H11" s="13"/>
      <c r="I11" s="13"/>
      <c r="J11" s="13"/>
    </row>
    <row r="12" spans="1:26" ht="12.75" customHeight="1"/>
    <row r="13" spans="1:26" ht="138.75" customHeight="1">
      <c r="A13" s="73" t="s">
        <v>382</v>
      </c>
      <c r="B13" s="71"/>
      <c r="C13" s="71"/>
      <c r="D13" s="71"/>
      <c r="E13" s="71"/>
      <c r="F13" s="71"/>
      <c r="G13" s="71"/>
      <c r="H13" s="71"/>
      <c r="I13" s="71"/>
      <c r="J13" s="72"/>
    </row>
    <row r="14" spans="1:26" ht="12.75" customHeight="1"/>
    <row r="15" spans="1:26" ht="75" customHeight="1">
      <c r="A15" s="73" t="s">
        <v>383</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300-000000000000}"/>
    <hyperlink ref="C9" r:id="rId2" xr:uid="{00000000-0004-0000-1300-000001000000}"/>
    <hyperlink ref="C10" r:id="rId3" xr:uid="{00000000-0004-0000-1300-000002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384</v>
      </c>
      <c r="C7" s="2" t="s">
        <v>385</v>
      </c>
      <c r="D7" s="2" t="s">
        <v>386</v>
      </c>
      <c r="E7" s="2" t="s">
        <v>387</v>
      </c>
      <c r="F7" s="3" t="s">
        <v>388</v>
      </c>
      <c r="G7" s="4" t="s">
        <v>389</v>
      </c>
      <c r="H7" s="5" t="s">
        <v>9</v>
      </c>
      <c r="I7" s="2" t="s">
        <v>390</v>
      </c>
      <c r="J7" s="2" t="s">
        <v>391</v>
      </c>
      <c r="K7" s="6"/>
      <c r="L7" s="6"/>
      <c r="M7" s="6"/>
      <c r="N7" s="6"/>
      <c r="O7" s="6"/>
      <c r="P7" s="6"/>
      <c r="Q7" s="6"/>
      <c r="R7" s="6"/>
      <c r="S7" s="6"/>
      <c r="T7" s="6"/>
      <c r="U7" s="6"/>
      <c r="V7" s="6"/>
      <c r="W7" s="6"/>
      <c r="X7" s="6"/>
      <c r="Y7" s="6"/>
      <c r="Z7" s="6"/>
    </row>
    <row r="8" spans="1:26" ht="129" customHeight="1">
      <c r="A8" s="7" t="s">
        <v>12</v>
      </c>
      <c r="B8" s="8" t="s">
        <v>156</v>
      </c>
      <c r="C8" s="9" t="s">
        <v>178</v>
      </c>
      <c r="D8" s="8" t="s">
        <v>179</v>
      </c>
      <c r="E8" s="11">
        <v>23100</v>
      </c>
      <c r="F8" s="11">
        <v>0</v>
      </c>
      <c r="G8" s="11">
        <f t="shared" ref="G8:G10" si="0">SUM(E8:F8)</f>
        <v>23100</v>
      </c>
      <c r="H8" s="11">
        <f t="shared" ref="H8:H10" si="1">G8</f>
        <v>23100</v>
      </c>
      <c r="I8" s="8" t="s">
        <v>159</v>
      </c>
      <c r="J8" s="8" t="s">
        <v>180</v>
      </c>
      <c r="N8" s="39"/>
      <c r="O8" s="40"/>
      <c r="P8" s="39"/>
    </row>
    <row r="9" spans="1:26" ht="178.5" customHeight="1">
      <c r="A9" s="7" t="s">
        <v>18</v>
      </c>
      <c r="B9" s="8" t="s">
        <v>161</v>
      </c>
      <c r="C9" s="36" t="s">
        <v>181</v>
      </c>
      <c r="D9" s="8" t="s">
        <v>182</v>
      </c>
      <c r="E9" s="11">
        <v>20000</v>
      </c>
      <c r="F9" s="11">
        <v>0</v>
      </c>
      <c r="G9" s="11">
        <f t="shared" si="0"/>
        <v>20000</v>
      </c>
      <c r="H9" s="11">
        <f t="shared" si="1"/>
        <v>20000</v>
      </c>
      <c r="I9" s="13" t="s">
        <v>159</v>
      </c>
      <c r="J9" s="13" t="s">
        <v>183</v>
      </c>
    </row>
    <row r="10" spans="1:26" ht="142.5" customHeight="1">
      <c r="A10" s="7" t="s">
        <v>24</v>
      </c>
      <c r="B10" s="8" t="s">
        <v>45</v>
      </c>
      <c r="C10" s="9" t="s">
        <v>184</v>
      </c>
      <c r="D10" s="13" t="s">
        <v>185</v>
      </c>
      <c r="E10" s="11">
        <v>54900</v>
      </c>
      <c r="F10" s="11">
        <v>0</v>
      </c>
      <c r="G10" s="11">
        <f t="shared" si="0"/>
        <v>54900</v>
      </c>
      <c r="H10" s="11">
        <f t="shared" si="1"/>
        <v>54900</v>
      </c>
      <c r="I10" s="13" t="s">
        <v>159</v>
      </c>
      <c r="J10" s="13" t="s">
        <v>186</v>
      </c>
    </row>
    <row r="11" spans="1:26" ht="15" hidden="1" customHeight="1">
      <c r="A11" s="15"/>
      <c r="B11" s="13"/>
      <c r="C11" s="13"/>
      <c r="D11" s="13"/>
      <c r="E11" s="13"/>
      <c r="F11" s="13"/>
      <c r="G11" s="13"/>
      <c r="H11" s="13"/>
      <c r="I11" s="13"/>
      <c r="J11" s="13"/>
    </row>
    <row r="12" spans="1:26" ht="12.75" customHeight="1"/>
    <row r="13" spans="1:26" ht="138.75" customHeight="1">
      <c r="A13" s="73" t="s">
        <v>392</v>
      </c>
      <c r="B13" s="71"/>
      <c r="C13" s="71"/>
      <c r="D13" s="71"/>
      <c r="E13" s="71"/>
      <c r="F13" s="71"/>
      <c r="G13" s="71"/>
      <c r="H13" s="71"/>
      <c r="I13" s="71"/>
      <c r="J13" s="72"/>
    </row>
    <row r="14" spans="1:26" ht="12.75" customHeight="1"/>
    <row r="15" spans="1:26" ht="75" customHeight="1">
      <c r="A15" s="73" t="s">
        <v>393</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400-000000000000}"/>
    <hyperlink ref="C9" r:id="rId2" xr:uid="{00000000-0004-0000-1400-000001000000}"/>
    <hyperlink ref="C10" r:id="rId3" xr:uid="{00000000-0004-0000-1400-00000200000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heetViews>
  <sheetFormatPr baseColWidth="10"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394</v>
      </c>
      <c r="C7" s="2" t="s">
        <v>395</v>
      </c>
      <c r="D7" s="2" t="s">
        <v>396</v>
      </c>
      <c r="E7" s="2" t="s">
        <v>397</v>
      </c>
      <c r="F7" s="3" t="s">
        <v>398</v>
      </c>
      <c r="G7" s="4" t="s">
        <v>399</v>
      </c>
      <c r="H7" s="5" t="s">
        <v>9</v>
      </c>
      <c r="I7" s="2" t="s">
        <v>400</v>
      </c>
      <c r="J7" s="2" t="s">
        <v>401</v>
      </c>
      <c r="K7" s="6"/>
      <c r="L7" s="6"/>
      <c r="M7" s="6"/>
      <c r="N7" s="6"/>
      <c r="O7" s="6"/>
      <c r="P7" s="6"/>
      <c r="Q7" s="6"/>
      <c r="R7" s="6"/>
      <c r="S7" s="6"/>
      <c r="T7" s="6"/>
      <c r="U7" s="6"/>
      <c r="V7" s="6"/>
      <c r="W7" s="6"/>
      <c r="X7" s="6"/>
      <c r="Y7" s="6"/>
      <c r="Z7" s="6"/>
    </row>
    <row r="8" spans="1:26" ht="129" customHeight="1">
      <c r="A8" s="7" t="s">
        <v>12</v>
      </c>
      <c r="B8" s="8" t="s">
        <v>197</v>
      </c>
      <c r="C8" s="9" t="s">
        <v>402</v>
      </c>
      <c r="D8" s="8" t="s">
        <v>199</v>
      </c>
      <c r="E8" s="11">
        <v>76792</v>
      </c>
      <c r="F8" s="11">
        <v>0</v>
      </c>
      <c r="G8" s="11">
        <f t="shared" ref="G8:G10" si="0">SUM(E8:F8)</f>
        <v>76792</v>
      </c>
      <c r="H8" s="11">
        <f t="shared" ref="H8:H10" si="1">G8</f>
        <v>76792</v>
      </c>
      <c r="I8" s="8" t="s">
        <v>200</v>
      </c>
      <c r="J8" s="8" t="s">
        <v>201</v>
      </c>
    </row>
    <row r="9" spans="1:26" ht="145.5" customHeight="1">
      <c r="A9" s="7" t="s">
        <v>18</v>
      </c>
      <c r="B9" s="8" t="s">
        <v>202</v>
      </c>
      <c r="C9" s="41" t="s">
        <v>403</v>
      </c>
      <c r="D9" s="8" t="s">
        <v>204</v>
      </c>
      <c r="E9" s="11">
        <v>52950</v>
      </c>
      <c r="F9" s="11">
        <v>0</v>
      </c>
      <c r="G9" s="11">
        <f t="shared" si="0"/>
        <v>52950</v>
      </c>
      <c r="H9" s="11">
        <f t="shared" si="1"/>
        <v>52950</v>
      </c>
      <c r="I9" s="13" t="s">
        <v>119</v>
      </c>
      <c r="J9" s="13" t="s">
        <v>205</v>
      </c>
    </row>
    <row r="10" spans="1:26" ht="69.75" customHeight="1">
      <c r="A10" s="7" t="s">
        <v>24</v>
      </c>
      <c r="B10" s="8" t="s">
        <v>206</v>
      </c>
      <c r="C10" s="9" t="s">
        <v>404</v>
      </c>
      <c r="D10" s="13" t="s">
        <v>208</v>
      </c>
      <c r="E10" s="11">
        <v>442600</v>
      </c>
      <c r="F10" s="11">
        <v>0</v>
      </c>
      <c r="G10" s="11">
        <f t="shared" si="0"/>
        <v>442600</v>
      </c>
      <c r="H10" s="11">
        <f t="shared" si="1"/>
        <v>442600</v>
      </c>
      <c r="I10" s="13" t="s">
        <v>145</v>
      </c>
      <c r="J10" s="13" t="s">
        <v>209</v>
      </c>
    </row>
    <row r="11" spans="1:26" ht="15" hidden="1" customHeight="1">
      <c r="A11" s="15"/>
      <c r="B11" s="13"/>
      <c r="C11" s="13"/>
      <c r="D11" s="13"/>
      <c r="E11" s="13"/>
      <c r="F11" s="13"/>
      <c r="G11" s="13"/>
      <c r="H11" s="13"/>
      <c r="I11" s="13"/>
      <c r="J11" s="13"/>
    </row>
    <row r="12" spans="1:26" ht="12.75" customHeight="1">
      <c r="J12" s="17"/>
    </row>
    <row r="13" spans="1:26" ht="138.75" customHeight="1">
      <c r="A13" s="73" t="s">
        <v>405</v>
      </c>
      <c r="B13" s="71"/>
      <c r="C13" s="71"/>
      <c r="D13" s="71"/>
      <c r="E13" s="71"/>
      <c r="F13" s="71"/>
      <c r="G13" s="71"/>
      <c r="H13" s="71"/>
      <c r="I13" s="71"/>
      <c r="J13" s="72"/>
    </row>
    <row r="14" spans="1:26" ht="12.75" customHeight="1"/>
    <row r="15" spans="1:26" ht="75" customHeight="1">
      <c r="A15" s="73" t="s">
        <v>406</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500-000000000000}"/>
    <hyperlink ref="C9" r:id="rId2" xr:uid="{00000000-0004-0000-1500-000001000000}"/>
    <hyperlink ref="C10" r:id="rId3" xr:uid="{00000000-0004-0000-1500-000002000000}"/>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heetViews>
  <sheetFormatPr baseColWidth="10" defaultColWidth="12.5703125" defaultRowHeight="15" customHeight="1"/>
  <cols>
    <col min="1" max="3" width="19.140625" customWidth="1"/>
    <col min="4" max="4" width="44.140625" customWidth="1"/>
    <col min="5" max="6" width="17" customWidth="1"/>
    <col min="7" max="7" width="18" customWidth="1"/>
    <col min="8" max="8" width="17" customWidth="1"/>
    <col min="9" max="9" width="19.140625" customWidth="1"/>
    <col min="10" max="10" width="31.710937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407</v>
      </c>
      <c r="C7" s="2" t="s">
        <v>408</v>
      </c>
      <c r="D7" s="2" t="s">
        <v>409</v>
      </c>
      <c r="E7" s="2" t="s">
        <v>410</v>
      </c>
      <c r="F7" s="3" t="s">
        <v>411</v>
      </c>
      <c r="G7" s="4" t="s">
        <v>412</v>
      </c>
      <c r="H7" s="5" t="s">
        <v>9</v>
      </c>
      <c r="I7" s="2" t="s">
        <v>413</v>
      </c>
      <c r="J7" s="2" t="s">
        <v>414</v>
      </c>
      <c r="K7" s="6"/>
      <c r="L7" s="6"/>
      <c r="M7" s="6"/>
      <c r="N7" s="6"/>
      <c r="O7" s="6"/>
      <c r="P7" s="6"/>
      <c r="Q7" s="6"/>
      <c r="R7" s="6"/>
      <c r="S7" s="6"/>
      <c r="T7" s="6"/>
      <c r="U7" s="6"/>
      <c r="V7" s="6"/>
      <c r="W7" s="6"/>
      <c r="X7" s="6"/>
      <c r="Y7" s="6"/>
      <c r="Z7" s="6"/>
    </row>
    <row r="8" spans="1:26" ht="116.25" customHeight="1">
      <c r="A8" s="7" t="s">
        <v>12</v>
      </c>
      <c r="B8" s="8" t="s">
        <v>220</v>
      </c>
      <c r="C8" s="12" t="s">
        <v>415</v>
      </c>
      <c r="D8" s="13" t="s">
        <v>222</v>
      </c>
      <c r="E8" s="25">
        <f t="shared" ref="E8:E9" si="0">H8</f>
        <v>222961.19999999998</v>
      </c>
      <c r="F8" s="25">
        <v>0</v>
      </c>
      <c r="G8" s="26">
        <v>57</v>
      </c>
      <c r="H8" s="25">
        <f>3911.6*G8</f>
        <v>222961.19999999998</v>
      </c>
      <c r="I8" s="8" t="s">
        <v>223</v>
      </c>
      <c r="J8" s="8" t="s">
        <v>224</v>
      </c>
    </row>
    <row r="9" spans="1:26" ht="109.5" customHeight="1">
      <c r="A9" s="7" t="s">
        <v>18</v>
      </c>
      <c r="B9" s="8" t="s">
        <v>225</v>
      </c>
      <c r="C9" s="43" t="s">
        <v>416</v>
      </c>
      <c r="D9" s="13" t="s">
        <v>227</v>
      </c>
      <c r="E9" s="44">
        <f t="shared" si="0"/>
        <v>1961875</v>
      </c>
      <c r="F9" s="31">
        <v>0</v>
      </c>
      <c r="G9" s="26">
        <v>500</v>
      </c>
      <c r="H9" s="25">
        <f>3923.75*G9</f>
        <v>1961875</v>
      </c>
      <c r="I9" s="13" t="s">
        <v>223</v>
      </c>
      <c r="J9" s="13" t="s">
        <v>228</v>
      </c>
    </row>
    <row r="10" spans="1:26" ht="139.5" customHeight="1">
      <c r="A10" s="7" t="s">
        <v>24</v>
      </c>
      <c r="B10" s="8" t="s">
        <v>229</v>
      </c>
      <c r="C10" s="46" t="s">
        <v>417</v>
      </c>
      <c r="D10" s="47" t="s">
        <v>231</v>
      </c>
      <c r="E10" s="48">
        <v>273.89999999999998</v>
      </c>
      <c r="F10" s="65">
        <v>0</v>
      </c>
      <c r="G10" s="30">
        <f>E10+F10</f>
        <v>273.89999999999998</v>
      </c>
      <c r="H10" s="66">
        <f>G10</f>
        <v>273.89999999999998</v>
      </c>
      <c r="I10" s="13" t="s">
        <v>223</v>
      </c>
      <c r="J10" s="67" t="s">
        <v>232</v>
      </c>
    </row>
    <row r="11" spans="1:26" ht="15" hidden="1" customHeight="1">
      <c r="A11" s="15"/>
      <c r="B11" s="13"/>
      <c r="C11" s="13"/>
      <c r="D11" s="13"/>
      <c r="E11" s="13"/>
      <c r="F11" s="13"/>
      <c r="G11" s="13"/>
      <c r="H11" s="13"/>
      <c r="I11" s="13"/>
      <c r="J11" s="52" t="s">
        <v>233</v>
      </c>
    </row>
    <row r="12" spans="1:26" ht="12.75" customHeight="1">
      <c r="J12" s="53"/>
    </row>
    <row r="13" spans="1:26" ht="138.75" customHeight="1">
      <c r="A13" s="73" t="s">
        <v>418</v>
      </c>
      <c r="B13" s="71"/>
      <c r="C13" s="71"/>
      <c r="D13" s="71"/>
      <c r="E13" s="71"/>
      <c r="F13" s="71"/>
      <c r="G13" s="71"/>
      <c r="H13" s="71"/>
      <c r="I13" s="71"/>
      <c r="J13" s="72"/>
    </row>
    <row r="14" spans="1:26" ht="12.75" customHeight="1"/>
    <row r="15" spans="1:26" ht="75" customHeight="1">
      <c r="A15" s="73" t="s">
        <v>419</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600-000000000000}"/>
    <hyperlink ref="C9" r:id="rId2" xr:uid="{00000000-0004-0000-1600-000001000000}"/>
    <hyperlink ref="C10" r:id="rId3" xr:uid="{00000000-0004-0000-1600-000002000000}"/>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sheetViews>
  <sheetFormatPr baseColWidth="10" defaultColWidth="12.5703125" defaultRowHeight="15" customHeight="1"/>
  <cols>
    <col min="1" max="3" width="19.140625" customWidth="1"/>
    <col min="4" max="4" width="21.85546875" customWidth="1"/>
    <col min="5" max="6" width="17" customWidth="1"/>
    <col min="7" max="7" width="20.42578125" customWidth="1"/>
    <col min="8" max="8" width="17" customWidth="1"/>
    <col min="9" max="10" width="19.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420</v>
      </c>
      <c r="C7" s="2" t="s">
        <v>421</v>
      </c>
      <c r="D7" s="2" t="s">
        <v>422</v>
      </c>
      <c r="E7" s="2" t="s">
        <v>423</v>
      </c>
      <c r="F7" s="3" t="s">
        <v>424</v>
      </c>
      <c r="G7" s="4" t="s">
        <v>425</v>
      </c>
      <c r="H7" s="5" t="s">
        <v>9</v>
      </c>
      <c r="I7" s="2" t="s">
        <v>426</v>
      </c>
      <c r="J7" s="2" t="s">
        <v>427</v>
      </c>
      <c r="K7" s="6"/>
      <c r="L7" s="6"/>
      <c r="M7" s="6"/>
      <c r="N7" s="6"/>
      <c r="O7" s="6"/>
      <c r="P7" s="6"/>
      <c r="Q7" s="6"/>
      <c r="R7" s="6"/>
      <c r="S7" s="6"/>
      <c r="T7" s="6"/>
      <c r="U7" s="6"/>
      <c r="V7" s="6"/>
      <c r="W7" s="6"/>
      <c r="X7" s="6"/>
      <c r="Y7" s="6"/>
      <c r="Z7" s="6"/>
    </row>
    <row r="8" spans="1:26" ht="50.25" customHeight="1">
      <c r="A8" s="7" t="s">
        <v>12</v>
      </c>
      <c r="B8" s="8" t="s">
        <v>244</v>
      </c>
      <c r="C8" s="12" t="s">
        <v>428</v>
      </c>
      <c r="D8" s="8" t="s">
        <v>246</v>
      </c>
      <c r="E8" s="8">
        <v>388401.75</v>
      </c>
      <c r="F8" s="25">
        <v>0</v>
      </c>
      <c r="G8" s="26">
        <v>99</v>
      </c>
      <c r="H8" s="25">
        <f t="shared" ref="H8:H10" si="0">3923.25*G8</f>
        <v>388401.75</v>
      </c>
      <c r="I8" s="8" t="s">
        <v>223</v>
      </c>
      <c r="J8" s="8" t="s">
        <v>247</v>
      </c>
    </row>
    <row r="9" spans="1:26" ht="50.25" customHeight="1">
      <c r="A9" s="7" t="s">
        <v>18</v>
      </c>
      <c r="B9" s="8" t="s">
        <v>248</v>
      </c>
      <c r="C9" s="41" t="s">
        <v>429</v>
      </c>
      <c r="D9" s="13" t="s">
        <v>250</v>
      </c>
      <c r="E9" s="13" t="s">
        <v>251</v>
      </c>
      <c r="F9" s="25">
        <v>0</v>
      </c>
      <c r="G9" s="54">
        <v>59</v>
      </c>
      <c r="H9" s="25">
        <f t="shared" si="0"/>
        <v>231471.75</v>
      </c>
      <c r="I9" s="13" t="s">
        <v>223</v>
      </c>
      <c r="J9" s="13" t="s">
        <v>252</v>
      </c>
    </row>
    <row r="10" spans="1:26" ht="151.5" customHeight="1">
      <c r="A10" s="7" t="s">
        <v>24</v>
      </c>
      <c r="B10" s="8" t="s">
        <v>253</v>
      </c>
      <c r="C10" s="9" t="s">
        <v>430</v>
      </c>
      <c r="D10" s="13" t="s">
        <v>255</v>
      </c>
      <c r="E10" s="26" t="s">
        <v>256</v>
      </c>
      <c r="F10" s="25">
        <v>0</v>
      </c>
      <c r="G10" s="55">
        <v>45</v>
      </c>
      <c r="H10" s="25">
        <f t="shared" si="0"/>
        <v>176546.25</v>
      </c>
      <c r="I10" s="13" t="s">
        <v>257</v>
      </c>
      <c r="J10" s="13" t="s">
        <v>258</v>
      </c>
    </row>
    <row r="11" spans="1:26" ht="15" hidden="1" customHeight="1">
      <c r="A11" s="15"/>
      <c r="B11" s="13"/>
      <c r="C11" s="13"/>
      <c r="D11" s="13"/>
      <c r="E11" s="13"/>
      <c r="F11" s="13"/>
      <c r="G11" s="13"/>
      <c r="H11" s="13"/>
      <c r="I11" s="13"/>
      <c r="J11" s="13"/>
    </row>
    <row r="12" spans="1:26" ht="12.75" customHeight="1"/>
    <row r="13" spans="1:26" ht="138.75" customHeight="1">
      <c r="A13" s="73" t="s">
        <v>431</v>
      </c>
      <c r="B13" s="71"/>
      <c r="C13" s="71"/>
      <c r="D13" s="71"/>
      <c r="E13" s="71"/>
      <c r="F13" s="71"/>
      <c r="G13" s="71"/>
      <c r="H13" s="71"/>
      <c r="I13" s="71"/>
      <c r="J13" s="72"/>
    </row>
    <row r="14" spans="1:26" ht="12.75" customHeight="1"/>
    <row r="15" spans="1:26" ht="75" customHeight="1">
      <c r="A15" s="73" t="s">
        <v>432</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700-000000000000}"/>
    <hyperlink ref="C9" r:id="rId2" xr:uid="{00000000-0004-0000-1700-000001000000}"/>
    <hyperlink ref="C10" r:id="rId3" xr:uid="{00000000-0004-0000-1700-000002000000}"/>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workbookViewId="0"/>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433</v>
      </c>
      <c r="C7" s="2" t="s">
        <v>434</v>
      </c>
      <c r="D7" s="2" t="s">
        <v>435</v>
      </c>
      <c r="E7" s="2" t="s">
        <v>436</v>
      </c>
      <c r="F7" s="3" t="s">
        <v>437</v>
      </c>
      <c r="G7" s="4" t="s">
        <v>438</v>
      </c>
      <c r="H7" s="5" t="s">
        <v>9</v>
      </c>
      <c r="I7" s="2" t="s">
        <v>439</v>
      </c>
      <c r="J7" s="2" t="s">
        <v>440</v>
      </c>
      <c r="K7" s="6"/>
      <c r="L7" s="6"/>
      <c r="M7" s="6"/>
      <c r="N7" s="6"/>
      <c r="O7" s="6"/>
      <c r="P7" s="6"/>
      <c r="Q7" s="6"/>
      <c r="R7" s="6"/>
      <c r="S7" s="6"/>
      <c r="T7" s="6"/>
      <c r="U7" s="6"/>
      <c r="V7" s="6"/>
      <c r="W7" s="6"/>
      <c r="X7" s="6"/>
      <c r="Y7" s="6"/>
      <c r="Z7" s="6"/>
    </row>
    <row r="8" spans="1:26" ht="79.5" customHeight="1">
      <c r="A8" s="7" t="s">
        <v>12</v>
      </c>
      <c r="B8" s="8" t="s">
        <v>269</v>
      </c>
      <c r="C8" s="12" t="s">
        <v>441</v>
      </c>
      <c r="D8" s="8" t="s">
        <v>271</v>
      </c>
      <c r="E8" s="26">
        <f t="shared" ref="E8:E10" si="0">H8</f>
        <v>191668.4</v>
      </c>
      <c r="F8" s="25">
        <v>0</v>
      </c>
      <c r="G8" s="30">
        <v>49</v>
      </c>
      <c r="H8" s="25">
        <f>3911.6*49</f>
        <v>191668.4</v>
      </c>
      <c r="I8" s="8" t="s">
        <v>145</v>
      </c>
      <c r="J8" s="8" t="s">
        <v>272</v>
      </c>
    </row>
    <row r="9" spans="1:26" ht="140.25" customHeight="1">
      <c r="A9" s="7" t="s">
        <v>18</v>
      </c>
      <c r="B9" s="8" t="s">
        <v>273</v>
      </c>
      <c r="C9" s="36" t="s">
        <v>274</v>
      </c>
      <c r="D9" s="13" t="s">
        <v>275</v>
      </c>
      <c r="E9" s="56">
        <f t="shared" si="0"/>
        <v>15607.284</v>
      </c>
      <c r="F9" s="25">
        <v>0</v>
      </c>
      <c r="G9" s="30">
        <v>3.99</v>
      </c>
      <c r="H9" s="25">
        <f>3911.6*3.99</f>
        <v>15607.284</v>
      </c>
      <c r="I9" s="13" t="s">
        <v>145</v>
      </c>
      <c r="J9" s="13" t="s">
        <v>276</v>
      </c>
    </row>
    <row r="10" spans="1:26" ht="123.75" customHeight="1">
      <c r="A10" s="7" t="s">
        <v>24</v>
      </c>
      <c r="B10" s="8" t="s">
        <v>277</v>
      </c>
      <c r="C10" s="9" t="s">
        <v>278</v>
      </c>
      <c r="D10" s="13" t="s">
        <v>279</v>
      </c>
      <c r="E10" s="26">
        <f t="shared" si="0"/>
        <v>64541.4</v>
      </c>
      <c r="F10" s="25">
        <v>0</v>
      </c>
      <c r="G10" s="30" t="s">
        <v>280</v>
      </c>
      <c r="H10" s="25">
        <f>3911.6*16.5</f>
        <v>64541.4</v>
      </c>
      <c r="I10" s="13" t="s">
        <v>145</v>
      </c>
      <c r="J10" s="13" t="s">
        <v>281</v>
      </c>
    </row>
    <row r="11" spans="1:26" ht="15" hidden="1" customHeight="1">
      <c r="A11" s="15"/>
      <c r="B11" s="13"/>
      <c r="C11" s="13"/>
      <c r="D11" s="13"/>
      <c r="E11" s="13"/>
      <c r="F11" s="13"/>
      <c r="G11" s="13"/>
      <c r="H11" s="13"/>
      <c r="I11" s="13"/>
      <c r="J11" s="13"/>
    </row>
    <row r="12" spans="1:26" ht="12.75" customHeight="1"/>
    <row r="13" spans="1:26" ht="138.75" customHeight="1">
      <c r="A13" s="73" t="s">
        <v>442</v>
      </c>
      <c r="B13" s="71"/>
      <c r="C13" s="71"/>
      <c r="D13" s="71"/>
      <c r="E13" s="71"/>
      <c r="F13" s="71"/>
      <c r="G13" s="71"/>
      <c r="H13" s="71"/>
      <c r="I13" s="71"/>
      <c r="J13" s="72"/>
    </row>
    <row r="14" spans="1:26" ht="12.75" customHeight="1"/>
    <row r="15" spans="1:26" ht="75" customHeight="1">
      <c r="A15" s="73" t="s">
        <v>443</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800-000000000000}"/>
    <hyperlink ref="C9" r:id="rId2" xr:uid="{00000000-0004-0000-1800-000001000000}"/>
    <hyperlink ref="C10" r:id="rId3" xr:uid="{00000000-0004-0000-1800-000002000000}"/>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workbookViewId="0"/>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68" t="s">
        <v>0</v>
      </c>
      <c r="E2" s="69"/>
      <c r="F2" s="69"/>
      <c r="G2" s="69"/>
      <c r="H2" s="69"/>
    </row>
    <row r="3" spans="1:26" ht="12.75" customHeight="1"/>
    <row r="4" spans="1:26" ht="12.75" customHeight="1"/>
    <row r="5" spans="1:26" ht="43.5" customHeight="1">
      <c r="A5" s="70" t="s">
        <v>1</v>
      </c>
      <c r="B5" s="71"/>
      <c r="C5" s="71"/>
      <c r="D5" s="71"/>
      <c r="E5" s="71"/>
      <c r="F5" s="71"/>
      <c r="G5" s="71"/>
      <c r="H5" s="71"/>
      <c r="I5" s="71"/>
      <c r="J5" s="72"/>
    </row>
    <row r="6" spans="1:26" ht="15.75" customHeight="1"/>
    <row r="7" spans="1:26" ht="75.75" customHeight="1">
      <c r="A7" s="1" t="s">
        <v>2</v>
      </c>
      <c r="B7" s="2" t="s">
        <v>444</v>
      </c>
      <c r="C7" s="2" t="s">
        <v>445</v>
      </c>
      <c r="D7" s="2" t="s">
        <v>446</v>
      </c>
      <c r="E7" s="2" t="s">
        <v>447</v>
      </c>
      <c r="F7" s="3" t="s">
        <v>448</v>
      </c>
      <c r="G7" s="4" t="s">
        <v>449</v>
      </c>
      <c r="H7" s="5" t="s">
        <v>9</v>
      </c>
      <c r="I7" s="2" t="s">
        <v>450</v>
      </c>
      <c r="J7" s="2" t="s">
        <v>451</v>
      </c>
      <c r="K7" s="6"/>
      <c r="L7" s="6"/>
      <c r="M7" s="6"/>
      <c r="N7" s="6"/>
      <c r="O7" s="6"/>
      <c r="P7" s="6"/>
      <c r="Q7" s="6"/>
      <c r="R7" s="6"/>
      <c r="S7" s="6"/>
      <c r="T7" s="6"/>
      <c r="U7" s="6"/>
      <c r="V7" s="6"/>
      <c r="W7" s="6"/>
      <c r="X7" s="6"/>
      <c r="Y7" s="6"/>
      <c r="Z7" s="6"/>
    </row>
    <row r="8" spans="1:26" ht="115.5" customHeight="1">
      <c r="A8" s="7" t="s">
        <v>12</v>
      </c>
      <c r="B8" s="8" t="s">
        <v>292</v>
      </c>
      <c r="C8" s="12" t="s">
        <v>293</v>
      </c>
      <c r="D8" s="8" t="s">
        <v>294</v>
      </c>
      <c r="E8" s="11">
        <v>159990</v>
      </c>
      <c r="F8" s="11">
        <v>0</v>
      </c>
      <c r="G8" s="11">
        <f t="shared" ref="G8:G10" si="0">F8+E8</f>
        <v>159990</v>
      </c>
      <c r="H8" s="11">
        <f t="shared" ref="H8:H10" si="1">G8</f>
        <v>159990</v>
      </c>
      <c r="I8" s="8" t="s">
        <v>28</v>
      </c>
      <c r="J8" s="8" t="s">
        <v>295</v>
      </c>
    </row>
    <row r="9" spans="1:26" ht="153" customHeight="1">
      <c r="A9" s="7" t="s">
        <v>18</v>
      </c>
      <c r="B9" s="8" t="s">
        <v>296</v>
      </c>
      <c r="C9" s="36" t="s">
        <v>297</v>
      </c>
      <c r="D9" s="13" t="s">
        <v>298</v>
      </c>
      <c r="E9" s="48">
        <v>160000</v>
      </c>
      <c r="F9" s="11">
        <v>0</v>
      </c>
      <c r="G9" s="11">
        <f t="shared" si="0"/>
        <v>160000</v>
      </c>
      <c r="H9" s="11">
        <f t="shared" si="1"/>
        <v>160000</v>
      </c>
      <c r="I9" s="13" t="s">
        <v>28</v>
      </c>
      <c r="J9" s="13" t="s">
        <v>299</v>
      </c>
    </row>
    <row r="10" spans="1:26" ht="113.25" customHeight="1">
      <c r="A10" s="7" t="s">
        <v>24</v>
      </c>
      <c r="B10" s="8" t="s">
        <v>300</v>
      </c>
      <c r="C10" s="9" t="s">
        <v>301</v>
      </c>
      <c r="D10" s="13" t="s">
        <v>302</v>
      </c>
      <c r="E10" s="11">
        <v>432000</v>
      </c>
      <c r="F10" s="11">
        <v>0</v>
      </c>
      <c r="G10" s="11">
        <f t="shared" si="0"/>
        <v>432000</v>
      </c>
      <c r="H10" s="11">
        <f t="shared" si="1"/>
        <v>432000</v>
      </c>
      <c r="I10" s="13" t="s">
        <v>28</v>
      </c>
      <c r="J10" s="13" t="s">
        <v>303</v>
      </c>
    </row>
    <row r="11" spans="1:26" ht="15" hidden="1" customHeight="1">
      <c r="A11" s="15"/>
      <c r="B11" s="13"/>
      <c r="C11" s="13"/>
      <c r="D11" s="13"/>
      <c r="E11" s="13" t="s">
        <v>304</v>
      </c>
      <c r="F11" s="13"/>
      <c r="G11" s="13"/>
      <c r="H11" s="13"/>
      <c r="I11" s="13"/>
      <c r="J11" s="13"/>
    </row>
    <row r="12" spans="1:26" ht="12.75" customHeight="1">
      <c r="E12" s="17"/>
    </row>
    <row r="13" spans="1:26" ht="138.75" customHeight="1">
      <c r="A13" s="73" t="s">
        <v>452</v>
      </c>
      <c r="B13" s="71"/>
      <c r="C13" s="71"/>
      <c r="D13" s="71"/>
      <c r="E13" s="71"/>
      <c r="F13" s="71"/>
      <c r="G13" s="71"/>
      <c r="H13" s="71"/>
      <c r="I13" s="71"/>
      <c r="J13" s="72"/>
    </row>
    <row r="14" spans="1:26" ht="12.75" customHeight="1"/>
    <row r="15" spans="1:26" ht="75" customHeight="1">
      <c r="A15" s="73" t="s">
        <v>453</v>
      </c>
      <c r="B15" s="71"/>
      <c r="C15" s="71"/>
      <c r="D15" s="71"/>
      <c r="E15" s="71"/>
      <c r="F15" s="71"/>
      <c r="G15" s="71"/>
      <c r="H15" s="71"/>
      <c r="I15" s="71"/>
      <c r="J15" s="7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6"/>
      <c r="E26" s="16"/>
      <c r="F26" s="17"/>
      <c r="G26" s="17"/>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1900-000000000000}"/>
    <hyperlink ref="C9" r:id="rId2" xr:uid="{00000000-0004-0000-1900-000001000000}"/>
    <hyperlink ref="C10" r:id="rId3" location="pc" xr:uid="{00000000-0004-0000-1900-00000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Torres </vt:lpstr>
      <vt:lpstr>monitor</vt:lpstr>
      <vt:lpstr>computador portatil</vt:lpstr>
      <vt:lpstr>+hosting</vt:lpstr>
      <vt:lpstr>dominio</vt:lpstr>
      <vt:lpstr>suscripciones o servicios</vt:lpstr>
      <vt:lpstr>teclados</vt:lpstr>
      <vt:lpstr>Moueses</vt:lpstr>
      <vt:lpstr>internet</vt:lpstr>
      <vt:lpstr>bases de datos</vt:lpstr>
      <vt:lpstr>editores de codigo</vt:lpstr>
      <vt:lpstr>mockup</vt:lpstr>
      <vt:lpstr>Hoja1</vt:lpstr>
      <vt:lpstr>Antivirus</vt:lpstr>
      <vt:lpstr>Nominas</vt:lpstr>
      <vt:lpstr>monitor (2)</vt:lpstr>
      <vt:lpstr>+hosting (2)</vt:lpstr>
      <vt:lpstr>dominio (2)</vt:lpstr>
      <vt:lpstr>suscripciones o servicios (2)</vt:lpstr>
      <vt:lpstr>teclados (2)</vt:lpstr>
      <vt:lpstr>Moueses (2)</vt:lpstr>
      <vt:lpstr>internet (2)</vt:lpstr>
      <vt:lpstr>bases de datos (2)</vt:lpstr>
      <vt:lpstr>editores de codigo (2)</vt:lpstr>
      <vt:lpstr>mockup (2)</vt:lpstr>
      <vt:lpstr>Antivirus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Alejandro Pirazan</cp:lastModifiedBy>
  <dcterms:created xsi:type="dcterms:W3CDTF">2010-11-08T17:12:41Z</dcterms:created>
  <dcterms:modified xsi:type="dcterms:W3CDTF">2025-05-24T16:06:50Z</dcterms:modified>
</cp:coreProperties>
</file>